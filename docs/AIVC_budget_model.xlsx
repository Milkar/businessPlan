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假设" sheetId="2" state="visible" r:id="rId2"/>
    <sheet name="人员" sheetId="3" state="visible" r:id="rId3"/>
    <sheet name="月度预算" sheetId="4" state="visible" r:id="rId4"/>
    <sheet name="汇总" sheetId="5" state="visible" r:id="rId5"/>
    <sheet name="PlanB情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0.0%;(0.0%);&quot;-&quot;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6" fillId="3" borderId="0" pivotButton="0" quotePrefix="0" xfId="0"/>
    <xf numFmtId="164" fontId="4" fillId="4" borderId="0" pivotButton="0" quotePrefix="0" xfId="0"/>
    <xf numFmtId="165" fontId="4" fillId="4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6" fontId="4" fillId="4" borderId="0" pivotButton="0" quotePrefix="0" xfId="0"/>
    <xf numFmtId="0" fontId="4" fillId="0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6" fontId="2" fillId="0" borderId="0" pivotButton="0" quotePrefix="0" xfId="0"/>
    <xf numFmtId="164" fontId="5" fillId="0" borderId="0" pivotButton="0" quotePrefix="0" xfId="0"/>
    <xf numFmtId="0" fontId="6" fillId="5" borderId="0" pivotButton="0" quotePrefix="0" xfId="0"/>
    <xf numFmtId="0" fontId="2" fillId="5" borderId="0" pivotButton="0" quotePrefix="0" xfId="0"/>
    <xf numFmtId="164" fontId="2" fillId="5" borderId="0" pivotButton="0" quotePrefix="0" xfId="0"/>
    <xf numFmtId="164" fontId="2" fillId="0" borderId="1" pivotButton="0" quotePrefix="0" xfId="0"/>
    <xf numFmtId="165" fontId="6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AIVC / 知微 Chronoid — 5000 万元融资 12 个月预算模拟</t>
        </is>
      </c>
    </row>
    <row r="2">
      <c r="A2" s="2" t="inlineStr">
        <is>
          <t>单位：人民币万元。本模型为测算工具，全部假设需团队与财务顾问核对后才能对外引用。</t>
        </is>
      </c>
    </row>
    <row r="3">
      <c r="A3" s="2" t="inlineStr"/>
    </row>
    <row r="4">
      <c r="A4" s="3" t="inlineStr">
        <is>
          <t>如何使用</t>
        </is>
      </c>
    </row>
    <row r="5">
      <c r="A5" s="2" t="inlineStr">
        <is>
          <t>1. 只改「假设」表和「人员」表里的蓝色数字（黄色底 = 关键假设）。其他表全部为公式，会自动重算。</t>
        </is>
      </c>
    </row>
    <row r="6">
      <c r="A6" s="2" t="inlineStr">
        <is>
          <t>2. 「月度预算」：Plan A 逐月支出，按六大类汇总。</t>
        </is>
      </c>
    </row>
    <row r="7">
      <c r="A7" s="2" t="inlineStr">
        <is>
          <t>3. 「汇总」：资金分配、准备金、单例成本、里程碑节点的累计支出。</t>
        </is>
      </c>
    </row>
    <row r="8">
      <c r="A8" s="2" t="inlineStr">
        <is>
          <t>4. 「PlanB情景」：准备金动用规则、三个情景下的现金余额与跑道月数。</t>
        </is>
      </c>
    </row>
    <row r="9">
      <c r="A9" s="2" t="inlineStr"/>
    </row>
    <row r="10">
      <c r="A10" s="3" t="inlineStr">
        <is>
          <t>颜色约定</t>
        </is>
      </c>
    </row>
    <row r="11">
      <c r="A11" s="2" t="inlineStr">
        <is>
          <t>蓝色字 = 手动输入的假设；黑色字 = 公式；绿色字 = 引用其他工作表；黄色底 = 关键假设，请优先核对。</t>
        </is>
      </c>
    </row>
    <row r="12">
      <c r="A12" s="2" t="inlineStr"/>
    </row>
    <row r="13">
      <c r="A13" s="3" t="inlineStr">
        <is>
          <t>口径说明</t>
        </is>
      </c>
    </row>
    <row r="14">
      <c r="A14" s="2" t="inlineStr">
        <is>
          <t>· 12 个月内不计任何收入（保守口径）：首个付费项目即使落地，也只作为上行空间，不抵减支出。</t>
        </is>
      </c>
    </row>
    <row r="15">
      <c r="A15" s="2" t="inlineStr">
        <is>
          <t>· 病例成本在入组当月一次性计入（简化）；实际上患者 T1（复发）数据可能晚于 12 个月产生。</t>
        </is>
      </c>
    </row>
    <row r="16">
      <c r="A16" s="2" t="inlineStr">
        <is>
          <t>· 不含增值税、汇率波动、股权激励费用；设备按采购当期现金支出计（不做折旧）。</t>
        </is>
      </c>
    </row>
    <row r="17">
      <c r="A17" s="2" t="inlineStr">
        <is>
          <t>· 价格基于国内一线城市生物医药初创企业的常见市场价区间估算，未经报价核实。【待核】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80" customWidth="1" min="4" max="4"/>
  </cols>
  <sheetData>
    <row r="1">
      <c r="A1" s="1" t="inlineStr">
        <is>
          <t>关键假设（蓝色可改）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参数</t>
        </is>
      </c>
      <c r="B3" s="4" t="inlineStr">
        <is>
          <t>数值</t>
        </is>
      </c>
      <c r="C3" s="4" t="inlineStr">
        <is>
          <t>单位</t>
        </is>
      </c>
      <c r="D3" s="4" t="inlineStr">
        <is>
          <t>说明 / 依据</t>
        </is>
      </c>
    </row>
    <row r="4">
      <c r="A4" s="5" t="inlineStr">
        <is>
          <t>融资与准备金</t>
        </is>
      </c>
      <c r="B4" s="6" t="n"/>
      <c r="C4" s="6" t="n"/>
      <c r="D4" s="6" t="n"/>
    </row>
    <row r="5">
      <c r="A5" s="2" t="inlineStr">
        <is>
          <t>本轮融资额</t>
        </is>
      </c>
      <c r="B5" s="7" t="n">
        <v>5000</v>
      </c>
      <c r="C5" s="2" t="inlineStr">
        <is>
          <t>万元</t>
        </is>
      </c>
      <c r="D5" s="2" t="inlineStr">
        <is>
          <t>用户口径：5000 万元覆盖 12 个月</t>
        </is>
      </c>
    </row>
    <row r="6">
      <c r="A6" s="2" t="inlineStr">
        <is>
          <t>Plan B 准备金目标比例</t>
        </is>
      </c>
      <c r="B6" s="8" t="n">
        <v>0.2</v>
      </c>
      <c r="C6" s="2" t="inlineStr">
        <is>
          <t>%</t>
        </is>
      </c>
      <c r="D6" s="2" t="inlineStr">
        <is>
          <t>建议 20%–25%：生物医药早期项目的融资周期通常 6–9 个月，需留出过桥资金</t>
        </is>
      </c>
    </row>
    <row r="7">
      <c r="A7" s="5" t="inlineStr">
        <is>
          <t>实验室与设备</t>
        </is>
      </c>
      <c r="B7" s="6" t="n"/>
      <c r="C7" s="6" t="n"/>
      <c r="D7" s="6" t="n"/>
    </row>
    <row r="8">
      <c r="A8" s="2" t="inlineStr">
        <is>
          <t>设备采购总额</t>
        </is>
      </c>
      <c r="B8" s="7" t="n">
        <v>800</v>
      </c>
      <c r="C8" s="2" t="inlineStr">
        <is>
          <t>万元</t>
        </is>
      </c>
      <c r="D8" s="2" t="inlineStr">
        <is>
          <t>高内涵成像、长时程活细胞成像、培养箱 / 生物安全柜 / 离心机等基础设备【待核：以报价为准】</t>
        </is>
      </c>
    </row>
    <row r="9">
      <c r="A9" s="2" t="inlineStr">
        <is>
          <t>设备采购：第 1 个月占比</t>
        </is>
      </c>
      <c r="B9" s="9" t="n">
        <v>0.5</v>
      </c>
      <c r="C9" s="2" t="inlineStr">
        <is>
          <t>%</t>
        </is>
      </c>
      <c r="D9" s="2" t="inlineStr"/>
    </row>
    <row r="10">
      <c r="A10" s="2" t="inlineStr">
        <is>
          <t>设备采购：第 2 个月占比</t>
        </is>
      </c>
      <c r="B10" s="9" t="n">
        <v>0.3</v>
      </c>
      <c r="C10" s="2" t="inlineStr">
        <is>
          <t>%</t>
        </is>
      </c>
      <c r="D10" s="2" t="inlineStr"/>
    </row>
    <row r="11">
      <c r="A11" s="2" t="inlineStr">
        <is>
          <t>设备采购：第 3 个月占比</t>
        </is>
      </c>
      <c r="B11" s="9" t="n">
        <v>0.2</v>
      </c>
      <c r="C11" s="2" t="inlineStr">
        <is>
          <t>%</t>
        </is>
      </c>
      <c r="D11" s="2" t="inlineStr">
        <is>
          <t>三个月占比之和应为 100%</t>
        </is>
      </c>
    </row>
    <row r="12">
      <c r="A12" s="2" t="inlineStr">
        <is>
          <t>实验室装修（第 1 个月一次性）</t>
        </is>
      </c>
      <c r="B12" s="10" t="n">
        <v>150</v>
      </c>
      <c r="C12" s="2" t="inlineStr">
        <is>
          <t>万元</t>
        </is>
      </c>
      <c r="D12" s="2" t="inlineStr">
        <is>
          <t>约 500 m² P2 级细胞实验室</t>
        </is>
      </c>
    </row>
    <row r="13">
      <c r="A13" s="2" t="inlineStr">
        <is>
          <t>实验室面积</t>
        </is>
      </c>
      <c r="B13" s="11" t="n">
        <v>500</v>
      </c>
      <c r="C13" s="2" t="inlineStr">
        <is>
          <t>m²</t>
        </is>
      </c>
      <c r="D13" s="2" t="inlineStr"/>
    </row>
    <row r="14">
      <c r="A14" s="2" t="inlineStr">
        <is>
          <t>实验室租金</t>
        </is>
      </c>
      <c r="B14" s="10" t="n">
        <v>4.5</v>
      </c>
      <c r="C14" s="2" t="inlineStr">
        <is>
          <t>元/m²/天</t>
        </is>
      </c>
      <c r="D14" s="2" t="inlineStr">
        <is>
          <t>园区实验室租金区间估算【待核】</t>
        </is>
      </c>
    </row>
    <row r="15">
      <c r="A15" s="2" t="inlineStr">
        <is>
          <t>通用实验耗材（第 2 个月起）</t>
        </is>
      </c>
      <c r="B15" s="10" t="n">
        <v>8</v>
      </c>
      <c r="C15" s="2" t="inlineStr">
        <is>
          <t>万元/月</t>
        </is>
      </c>
      <c r="D15" s="2" t="inlineStr">
        <is>
          <t>与具体病例无关的耗材、试剂</t>
        </is>
      </c>
    </row>
    <row r="16">
      <c r="A16" s="2" t="inlineStr">
        <is>
          <t>设备维保费率（第 4 个月起）</t>
        </is>
      </c>
      <c r="B16" s="9" t="n">
        <v>0.05</v>
      </c>
      <c r="C16" s="2" t="inlineStr">
        <is>
          <t>%/年</t>
        </is>
      </c>
      <c r="D16" s="2" t="inlineStr">
        <is>
          <t>按设备总额计</t>
        </is>
      </c>
    </row>
    <row r="17">
      <c r="A17" s="5" t="inlineStr">
        <is>
          <t>配对病例单例成本</t>
        </is>
      </c>
      <c r="B17" s="6" t="n"/>
      <c r="C17" s="6" t="n"/>
      <c r="D17" s="6" t="n"/>
    </row>
    <row r="18">
      <c r="A18" s="2" t="inlineStr">
        <is>
          <t>类器官建模成功率</t>
        </is>
      </c>
      <c r="B18" s="8" t="n">
        <v>0.7</v>
      </c>
      <c r="C18" s="2" t="inlineStr">
        <is>
          <t>%</t>
        </is>
      </c>
      <c r="D18" s="2" t="inlineStr">
        <is>
          <t>失败病例只发生「样本获取 + 建模」成本【待补充：团队历史成功率】</t>
        </is>
      </c>
    </row>
    <row r="19">
      <c r="A19" s="2" t="inlineStr">
        <is>
          <t>样本获取与临床随访</t>
        </is>
      </c>
      <c r="B19" s="10" t="n">
        <v>1.5</v>
      </c>
      <c r="C19" s="2" t="inlineStr">
        <is>
          <t>万元/例</t>
        </is>
      </c>
      <c r="D19" s="2" t="inlineStr">
        <is>
          <t>采样、病理、医院端数据整理与随访</t>
        </is>
      </c>
    </row>
    <row r="20">
      <c r="A20" s="2" t="inlineStr">
        <is>
          <t>类器官建立与扩增</t>
        </is>
      </c>
      <c r="B20" s="10" t="n">
        <v>2</v>
      </c>
      <c r="C20" s="2" t="inlineStr">
        <is>
          <t>万元/例</t>
        </is>
      </c>
      <c r="D20" s="2" t="inlineStr">
        <is>
          <t>培养基、基质胶、建库与质控</t>
        </is>
      </c>
    </row>
    <row r="21">
      <c r="A21" s="2" t="inlineStr">
        <is>
          <t>扰动实验（多药物 × 多剂量 × 多时间点）</t>
        </is>
      </c>
      <c r="B21" s="10" t="n">
        <v>3</v>
      </c>
      <c r="C21" s="2" t="inlineStr">
        <is>
          <t>万元/成功例</t>
        </is>
      </c>
      <c r="D21" s="2" t="inlineStr">
        <is>
          <t>统一 SOP 下的扰动面板</t>
        </is>
      </c>
    </row>
    <row r="22">
      <c r="A22" s="2" t="inlineStr">
        <is>
          <t>单细胞测序（4 个样本/例）</t>
        </is>
      </c>
      <c r="B22" s="10" t="n">
        <v>4</v>
      </c>
      <c r="C22" s="2" t="inlineStr">
        <is>
          <t>万元/成功例</t>
        </is>
      </c>
      <c r="D22" s="2" t="inlineStr">
        <is>
          <t>患者 T0 / PDO T0 / PDO T1 / 患者 T1，约 1 万元/样本</t>
        </is>
      </c>
    </row>
    <row r="23">
      <c r="A23" s="2" t="inlineStr">
        <is>
          <t>bulk RNA + WES</t>
        </is>
      </c>
      <c r="B23" s="10" t="n">
        <v>1.7</v>
      </c>
      <c r="C23" s="2" t="inlineStr">
        <is>
          <t>万元/成功例</t>
        </is>
      </c>
      <c r="D23" s="2" t="inlineStr">
        <is>
          <t>bulk RNA 约 8 条件 × 0.1；WES 约 3 样本 × 0.3</t>
        </is>
      </c>
    </row>
    <row r="24">
      <c r="A24" s="2" t="inlineStr">
        <is>
          <t>蛋白组 + 代谢组</t>
        </is>
      </c>
      <c r="B24" s="10" t="n">
        <v>1.6</v>
      </c>
      <c r="C24" s="2" t="inlineStr">
        <is>
          <t>万元/成功例</t>
        </is>
      </c>
      <c r="D24" s="2" t="inlineStr">
        <is>
          <t>约 4 样本 × 0.4</t>
        </is>
      </c>
    </row>
    <row r="25">
      <c r="A25" s="2" t="inlineStr">
        <is>
          <t>空间转录组（按 50% 病例做）</t>
        </is>
      </c>
      <c r="B25" s="10" t="n">
        <v>1.5</v>
      </c>
      <c r="C25" s="2" t="inlineStr">
        <is>
          <t>万元/成功例</t>
        </is>
      </c>
      <c r="D25" s="2" t="inlineStr">
        <is>
          <t>约 3 万元/样本 × 50%</t>
        </is>
      </c>
    </row>
    <row r="26">
      <c r="A26" s="2" t="inlineStr">
        <is>
          <t>成像与功能表型</t>
        </is>
      </c>
      <c r="B26" s="10" t="n">
        <v>0.8</v>
      </c>
      <c r="C26" s="2" t="inlineStr">
        <is>
          <t>万元/成功例</t>
        </is>
      </c>
      <c r="D26" s="2" t="inlineStr">
        <is>
          <t>高内涵 / 活细胞成像运行耗材</t>
        </is>
      </c>
    </row>
    <row r="27">
      <c r="A27" s="2" t="inlineStr">
        <is>
          <t>回顾性验证样本数（第 8–11 个月）</t>
        </is>
      </c>
      <c r="B27" s="11" t="n">
        <v>30</v>
      </c>
      <c r="C27" s="2" t="inlineStr">
        <is>
          <t>例</t>
        </is>
      </c>
      <c r="D27" s="2" t="inlineStr">
        <is>
          <t>利用已有样本库做药物响应回顾性验证（第 12 个月里程碑）</t>
        </is>
      </c>
    </row>
    <row r="28">
      <c r="A28" s="2" t="inlineStr">
        <is>
          <t>回顾性验证单例成本</t>
        </is>
      </c>
      <c r="B28" s="10" t="n">
        <v>3</v>
      </c>
      <c r="C28" s="2" t="inlineStr">
        <is>
          <t>万元/例</t>
        </is>
      </c>
      <c r="D28" s="2" t="inlineStr"/>
    </row>
    <row r="29">
      <c r="A29" s="5" t="inlineStr">
        <is>
          <t>数据与算力</t>
        </is>
      </c>
      <c r="B29" s="6" t="n"/>
      <c r="C29" s="6" t="n"/>
      <c r="D29" s="6" t="n"/>
    </row>
    <row r="30">
      <c r="A30" s="2" t="inlineStr">
        <is>
          <t>云 GPU 开始月份</t>
        </is>
      </c>
      <c r="B30" s="11" t="n">
        <v>2</v>
      </c>
      <c r="C30" s="2" t="inlineStr">
        <is>
          <t>月</t>
        </is>
      </c>
      <c r="D30" s="2" t="inlineStr"/>
    </row>
    <row r="31">
      <c r="A31" s="2" t="inlineStr">
        <is>
          <t>云 GPU 满负荷月份</t>
        </is>
      </c>
      <c r="B31" s="11" t="n">
        <v>5</v>
      </c>
      <c r="C31" s="2" t="inlineStr">
        <is>
          <t>月</t>
        </is>
      </c>
      <c r="D31" s="2" t="inlineStr">
        <is>
          <t>之前按 50% 计</t>
        </is>
      </c>
    </row>
    <row r="32">
      <c r="A32" s="2" t="inlineStr">
        <is>
          <t>云 GPU 满负荷月费</t>
        </is>
      </c>
      <c r="B32" s="7" t="n">
        <v>15</v>
      </c>
      <c r="C32" s="2" t="inlineStr">
        <is>
          <t>万元/月</t>
        </is>
      </c>
      <c r="D32" s="2" t="inlineStr">
        <is>
          <t>约 8 卡训练集群的云租用【待核】</t>
        </is>
      </c>
    </row>
    <row r="33">
      <c r="A33" s="2" t="inlineStr">
        <is>
          <t>数据平台搭建（第 2 个月一次性）</t>
        </is>
      </c>
      <c r="B33" s="10" t="n">
        <v>60</v>
      </c>
      <c r="C33" s="2" t="inlineStr">
        <is>
          <t>万元</t>
        </is>
      </c>
      <c r="D33" s="2" t="inlineStr">
        <is>
          <t>LIMS、数据湖，扩展现有 Verqura 系统</t>
        </is>
      </c>
    </row>
    <row r="34">
      <c r="A34" s="2" t="inlineStr">
        <is>
          <t>数据平台运维（第 3 个月起）</t>
        </is>
      </c>
      <c r="B34" s="10" t="n">
        <v>3</v>
      </c>
      <c r="C34" s="2" t="inlineStr">
        <is>
          <t>万元/月</t>
        </is>
      </c>
      <c r="D34" s="2" t="inlineStr">
        <is>
          <t>存储、备份、等保</t>
        </is>
      </c>
    </row>
    <row r="35">
      <c r="A35" s="2" t="inlineStr">
        <is>
          <t>软件许可</t>
        </is>
      </c>
      <c r="B35" s="10" t="n">
        <v>40</v>
      </c>
      <c r="C35" s="2" t="inlineStr">
        <is>
          <t>万元/年</t>
        </is>
      </c>
      <c r="D35" s="2" t="inlineStr">
        <is>
          <t>分析软件、图像处理、协作工具</t>
        </is>
      </c>
    </row>
    <row r="36">
      <c r="A36" s="2" t="inlineStr">
        <is>
          <t>外部数据 / 数据库授权（第 4 个月一次性）</t>
        </is>
      </c>
      <c r="B36" s="10" t="n">
        <v>30</v>
      </c>
      <c r="C36" s="2" t="inlineStr">
        <is>
          <t>万元</t>
        </is>
      </c>
      <c r="D36" s="2" t="inlineStr"/>
    </row>
    <row r="37">
      <c r="A37" s="5" t="inlineStr">
        <is>
          <t>临床合作、合规与知识产权</t>
        </is>
      </c>
      <c r="B37" s="6" t="n"/>
      <c r="C37" s="6" t="n"/>
      <c r="D37" s="6" t="n"/>
    </row>
    <row r="38">
      <c r="A38" s="2" t="inlineStr">
        <is>
          <t>合作医院数</t>
        </is>
      </c>
      <c r="B38" s="12" t="n">
        <v>4</v>
      </c>
      <c r="C38" s="2" t="inlineStr">
        <is>
          <t>家</t>
        </is>
      </c>
      <c r="D38" s="2" t="inlineStr">
        <is>
          <t>【待补充：合作中心名单与协议状态】</t>
        </is>
      </c>
    </row>
    <row r="39">
      <c r="A39" s="2" t="inlineStr">
        <is>
          <t>单中心项目年费</t>
        </is>
      </c>
      <c r="B39" s="10" t="n">
        <v>40</v>
      </c>
      <c r="C39" s="2" t="inlineStr">
        <is>
          <t>万元/年</t>
        </is>
      </c>
      <c r="D39" s="2" t="inlineStr">
        <is>
          <t>含伦理审查、数据管理、研究护士支持</t>
        </is>
      </c>
    </row>
    <row r="40">
      <c r="A40" s="2" t="inlineStr">
        <is>
          <t>人类遗传资源审批 / 伦理合规咨询（第 1–3 个月）</t>
        </is>
      </c>
      <c r="B40" s="10" t="n">
        <v>40</v>
      </c>
      <c r="C40" s="2" t="inlineStr">
        <is>
          <t>万元</t>
        </is>
      </c>
      <c r="D40" s="2" t="inlineStr">
        <is>
          <t>遗传办审批或备案、知情同意文件</t>
        </is>
      </c>
    </row>
    <row r="41">
      <c r="A41" s="2" t="inlineStr">
        <is>
          <t>数据安全与出境合规（第 4 个月）</t>
        </is>
      </c>
      <c r="B41" s="10" t="n">
        <v>30</v>
      </c>
      <c r="C41" s="2" t="inlineStr">
        <is>
          <t>万元</t>
        </is>
      </c>
      <c r="D41" s="2" t="inlineStr">
        <is>
          <t>数据出境安全评估 / 标准合同、等保</t>
        </is>
      </c>
    </row>
    <row r="42">
      <c r="A42" s="2" t="inlineStr">
        <is>
          <t>专利申请数</t>
        </is>
      </c>
      <c r="B42" s="11" t="n">
        <v>8</v>
      </c>
      <c r="C42" s="2" t="inlineStr">
        <is>
          <t>件</t>
        </is>
      </c>
      <c r="D42" s="2" t="inlineStr">
        <is>
          <t>国内发明 + PCT</t>
        </is>
      </c>
    </row>
    <row r="43">
      <c r="A43" s="2" t="inlineStr">
        <is>
          <t>单件专利费用</t>
        </is>
      </c>
      <c r="B43" s="10" t="n">
        <v>6</v>
      </c>
      <c r="C43" s="2" t="inlineStr">
        <is>
          <t>万元/件</t>
        </is>
      </c>
      <c r="D43" s="2" t="inlineStr"/>
    </row>
    <row r="44">
      <c r="A44" s="2" t="inlineStr">
        <is>
          <t>法律、审计、财务服务</t>
        </is>
      </c>
      <c r="B44" s="10" t="n">
        <v>40</v>
      </c>
      <c r="C44" s="2" t="inlineStr">
        <is>
          <t>万元/年</t>
        </is>
      </c>
      <c r="D44" s="2" t="inlineStr"/>
    </row>
    <row r="45">
      <c r="A45" s="5" t="inlineStr">
        <is>
          <t>商务与运营</t>
        </is>
      </c>
      <c r="B45" s="6" t="n"/>
      <c r="C45" s="6" t="n"/>
      <c r="D45" s="6" t="n"/>
    </row>
    <row r="46">
      <c r="A46" s="2" t="inlineStr">
        <is>
          <t>办公面积</t>
        </is>
      </c>
      <c r="B46" s="11" t="n">
        <v>300</v>
      </c>
      <c r="C46" s="2" t="inlineStr">
        <is>
          <t>m²</t>
        </is>
      </c>
      <c r="D46" s="2" t="inlineStr"/>
    </row>
    <row r="47">
      <c r="A47" s="2" t="inlineStr">
        <is>
          <t>办公租金</t>
        </is>
      </c>
      <c r="B47" s="10" t="n">
        <v>4</v>
      </c>
      <c r="C47" s="2" t="inlineStr">
        <is>
          <t>元/m²/天</t>
        </is>
      </c>
      <c r="D47" s="2" t="inlineStr"/>
    </row>
    <row r="48">
      <c r="A48" s="2" t="inlineStr">
        <is>
          <t>差旅（含中德往返）</t>
        </is>
      </c>
      <c r="B48" s="10" t="n">
        <v>4</v>
      </c>
      <c r="C48" s="2" t="inlineStr">
        <is>
          <t>万元/月</t>
        </is>
      </c>
      <c r="D48" s="2" t="inlineStr"/>
    </row>
    <row r="49">
      <c r="A49" s="2" t="inlineStr">
        <is>
          <t>学术会议与市场</t>
        </is>
      </c>
      <c r="B49" s="10" t="n">
        <v>40</v>
      </c>
      <c r="C49" s="2" t="inlineStr">
        <is>
          <t>万元/年</t>
        </is>
      </c>
      <c r="D49" s="2" t="inlineStr"/>
    </row>
    <row r="50">
      <c r="A50" s="2" t="inlineStr">
        <is>
          <t>BD 试点项目投入（第 7–12 个月）</t>
        </is>
      </c>
      <c r="B50" s="10" t="n">
        <v>100</v>
      </c>
      <c r="C50" s="2" t="inlineStr">
        <is>
          <t>万元</t>
        </is>
      </c>
      <c r="D50" s="2" t="inlineStr">
        <is>
          <t>为争取首个付费项目做的验证性试点</t>
        </is>
      </c>
    </row>
    <row r="51">
      <c r="A51" s="2" t="inlineStr">
        <is>
          <t>行政、IT、保险杂费</t>
        </is>
      </c>
      <c r="B51" s="10" t="n">
        <v>2</v>
      </c>
      <c r="C51" s="2" t="inlineStr">
        <is>
          <t>万元/月</t>
        </is>
      </c>
      <c r="D51" s="2" t="inlineStr"/>
    </row>
    <row r="52">
      <c r="A52" s="2" t="inlineStr">
        <is>
          <t>Plan A 内部不可预见费率</t>
        </is>
      </c>
      <c r="B52" s="9" t="n">
        <v>0.03</v>
      </c>
      <c r="C52" s="2" t="inlineStr">
        <is>
          <t>%</t>
        </is>
      </c>
      <c r="D52" s="2" t="inlineStr">
        <is>
          <t>按当月其他支出计；与 Plan B 准备金分开</t>
        </is>
      </c>
    </row>
    <row r="53">
      <c r="A53" s="2" t="inlineStr">
        <is>
          <t>招聘费率</t>
        </is>
      </c>
      <c r="B53" s="9" t="n">
        <v>0.1</v>
      </c>
      <c r="C53" s="2" t="inlineStr">
        <is>
          <t>%</t>
        </is>
      </c>
      <c r="D53" s="2" t="inlineStr">
        <is>
          <t>按新增人员年度人力成本计（猎头 / 招聘渠道）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2" customWidth="1" min="17" max="17"/>
  </cols>
  <sheetData>
    <row r="1">
      <c r="A1" s="1" t="inlineStr">
        <is>
          <t>人员计划（月末在岗人数；蓝色可改）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年度人力成本 = 年薪 + 社保公积金等（单位：万元/人/年）。M0 列固定为 0，用于计算第 1 个月的新增人数。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岗位</t>
        </is>
      </c>
      <c r="B4" s="4" t="inlineStr">
        <is>
          <t>年度人力成本
(万元/人)</t>
        </is>
      </c>
      <c r="C4" s="4" t="inlineStr">
        <is>
          <t>M0</t>
        </is>
      </c>
      <c r="D4" s="4" t="inlineStr">
        <is>
          <t>M1</t>
        </is>
      </c>
      <c r="E4" s="4" t="inlineStr">
        <is>
          <t>M2</t>
        </is>
      </c>
      <c r="F4" s="4" t="inlineStr">
        <is>
          <t>M3</t>
        </is>
      </c>
      <c r="G4" s="4" t="inlineStr">
        <is>
          <t>M4</t>
        </is>
      </c>
      <c r="H4" s="4" t="inlineStr">
        <is>
          <t>M5</t>
        </is>
      </c>
      <c r="I4" s="4" t="inlineStr">
        <is>
          <t>M6</t>
        </is>
      </c>
      <c r="J4" s="4" t="inlineStr">
        <is>
          <t>M7</t>
        </is>
      </c>
      <c r="K4" s="4" t="inlineStr">
        <is>
          <t>M8</t>
        </is>
      </c>
      <c r="L4" s="4" t="inlineStr">
        <is>
          <t>M9</t>
        </is>
      </c>
      <c r="M4" s="4" t="inlineStr">
        <is>
          <t>M10</t>
        </is>
      </c>
      <c r="N4" s="4" t="inlineStr">
        <is>
          <t>M11</t>
        </is>
      </c>
      <c r="O4" s="4" t="inlineStr">
        <is>
          <t>M12</t>
        </is>
      </c>
      <c r="P4" s="4" t="inlineStr">
        <is>
          <t>人月合计</t>
        </is>
      </c>
      <c r="Q4" s="4" t="inlineStr">
        <is>
          <t>12 个月成本
(万元)</t>
        </is>
      </c>
    </row>
    <row r="5">
      <c r="A5" s="2" t="inlineStr">
        <is>
          <t>创始团队（CEO / CTO / ML 负责人 / 运营）</t>
        </is>
      </c>
      <c r="B5" s="10" t="n">
        <v>45</v>
      </c>
      <c r="C5" s="13" t="n">
        <v>0</v>
      </c>
      <c r="D5" s="11" t="n">
        <v>4</v>
      </c>
      <c r="E5" s="11" t="n">
        <v>4</v>
      </c>
      <c r="F5" s="11" t="n">
        <v>4</v>
      </c>
      <c r="G5" s="11" t="n">
        <v>4</v>
      </c>
      <c r="H5" s="11" t="n">
        <v>4</v>
      </c>
      <c r="I5" s="11" t="n">
        <v>4</v>
      </c>
      <c r="J5" s="11" t="n">
        <v>4</v>
      </c>
      <c r="K5" s="11" t="n">
        <v>4</v>
      </c>
      <c r="L5" s="11" t="n">
        <v>4</v>
      </c>
      <c r="M5" s="11" t="n">
        <v>4</v>
      </c>
      <c r="N5" s="11" t="n">
        <v>4</v>
      </c>
      <c r="O5" s="11" t="n">
        <v>4</v>
      </c>
      <c r="P5" s="14">
        <f>SUM(D5:O5)</f>
        <v>48.0</v>
      </c>
      <c r="Q5" s="15">
        <f>B5*P5/12</f>
        <v>180.0</v>
      </c>
    </row>
    <row r="6">
      <c r="A6" s="2" t="inlineStr">
        <is>
          <t>资深科学家（类器官 / 肿瘤生物学）</t>
        </is>
      </c>
      <c r="B6" s="10" t="n">
        <v>55</v>
      </c>
      <c r="C6" s="13" t="n">
        <v>0</v>
      </c>
      <c r="D6" s="11" t="n">
        <v>1</v>
      </c>
      <c r="E6" s="11" t="n">
        <v>1</v>
      </c>
      <c r="F6" s="11" t="n">
        <v>2</v>
      </c>
      <c r="G6" s="11" t="n">
        <v>2</v>
      </c>
      <c r="H6" s="11" t="n">
        <v>2</v>
      </c>
      <c r="I6" s="11" t="n">
        <v>2</v>
      </c>
      <c r="J6" s="11" t="n">
        <v>2</v>
      </c>
      <c r="K6" s="11" t="n">
        <v>2</v>
      </c>
      <c r="L6" s="11" t="n">
        <v>2</v>
      </c>
      <c r="M6" s="11" t="n">
        <v>2</v>
      </c>
      <c r="N6" s="11" t="n">
        <v>2</v>
      </c>
      <c r="O6" s="11" t="n">
        <v>2</v>
      </c>
      <c r="P6" s="14">
        <f>SUM(D6:O6)</f>
        <v>22.0</v>
      </c>
      <c r="Q6" s="15">
        <f>B6*P6/12</f>
        <v>100.83333333333333</v>
      </c>
    </row>
    <row r="7">
      <c r="A7" s="2" t="inlineStr">
        <is>
          <t>实验技术员 / 研究助理</t>
        </is>
      </c>
      <c r="B7" s="10" t="n">
        <v>18</v>
      </c>
      <c r="C7" s="13" t="n">
        <v>0</v>
      </c>
      <c r="D7" s="11" t="n">
        <v>2</v>
      </c>
      <c r="E7" s="11" t="n">
        <v>4</v>
      </c>
      <c r="F7" s="11" t="n">
        <v>4</v>
      </c>
      <c r="G7" s="11" t="n">
        <v>6</v>
      </c>
      <c r="H7" s="11" t="n">
        <v>6</v>
      </c>
      <c r="I7" s="11" t="n">
        <v>6</v>
      </c>
      <c r="J7" s="11" t="n">
        <v>8</v>
      </c>
      <c r="K7" s="11" t="n">
        <v>8</v>
      </c>
      <c r="L7" s="11" t="n">
        <v>10</v>
      </c>
      <c r="M7" s="11" t="n">
        <v>10</v>
      </c>
      <c r="N7" s="11" t="n">
        <v>10</v>
      </c>
      <c r="O7" s="11" t="n">
        <v>10</v>
      </c>
      <c r="P7" s="14">
        <f>SUM(D7:O7)</f>
        <v>84.0</v>
      </c>
      <c r="Q7" s="15">
        <f>B7*P7/12</f>
        <v>126.0</v>
      </c>
    </row>
    <row r="8">
      <c r="A8" s="2" t="inlineStr">
        <is>
          <t>生物信息 / 数据工程师</t>
        </is>
      </c>
      <c r="B8" s="10" t="n">
        <v>40</v>
      </c>
      <c r="C8" s="13" t="n">
        <v>0</v>
      </c>
      <c r="D8" s="11" t="n">
        <v>0</v>
      </c>
      <c r="E8" s="11" t="n">
        <v>1</v>
      </c>
      <c r="F8" s="11" t="n">
        <v>2</v>
      </c>
      <c r="G8" s="11" t="n">
        <v>2</v>
      </c>
      <c r="H8" s="11" t="n">
        <v>3</v>
      </c>
      <c r="I8" s="11" t="n">
        <v>3</v>
      </c>
      <c r="J8" s="11" t="n">
        <v>3</v>
      </c>
      <c r="K8" s="11" t="n">
        <v>3</v>
      </c>
      <c r="L8" s="11" t="n">
        <v>3</v>
      </c>
      <c r="M8" s="11" t="n">
        <v>3</v>
      </c>
      <c r="N8" s="11" t="n">
        <v>3</v>
      </c>
      <c r="O8" s="11" t="n">
        <v>3</v>
      </c>
      <c r="P8" s="14">
        <f>SUM(D8:O8)</f>
        <v>29.0</v>
      </c>
      <c r="Q8" s="15">
        <f>B8*P8/12</f>
        <v>96.66666666666667</v>
      </c>
    </row>
    <row r="9">
      <c r="A9" s="2" t="inlineStr">
        <is>
          <t>机器学习工程师</t>
        </is>
      </c>
      <c r="B9" s="10" t="n">
        <v>55</v>
      </c>
      <c r="C9" s="13" t="n">
        <v>0</v>
      </c>
      <c r="D9" s="11" t="n">
        <v>0</v>
      </c>
      <c r="E9" s="11" t="n">
        <v>1</v>
      </c>
      <c r="F9" s="11" t="n">
        <v>1</v>
      </c>
      <c r="G9" s="11" t="n">
        <v>2</v>
      </c>
      <c r="H9" s="11" t="n">
        <v>2</v>
      </c>
      <c r="I9" s="11" t="n">
        <v>3</v>
      </c>
      <c r="J9" s="11" t="n">
        <v>3</v>
      </c>
      <c r="K9" s="11" t="n">
        <v>3</v>
      </c>
      <c r="L9" s="11" t="n">
        <v>4</v>
      </c>
      <c r="M9" s="11" t="n">
        <v>4</v>
      </c>
      <c r="N9" s="11" t="n">
        <v>4</v>
      </c>
      <c r="O9" s="11" t="n">
        <v>4</v>
      </c>
      <c r="P9" s="14">
        <f>SUM(D9:O9)</f>
        <v>31.0</v>
      </c>
      <c r="Q9" s="15">
        <f>B9*P9/12</f>
        <v>142.08333333333334</v>
      </c>
    </row>
    <row r="10">
      <c r="A10" s="2" t="inlineStr">
        <is>
          <t>临床研究协调员（CRC）</t>
        </is>
      </c>
      <c r="B10" s="10" t="n">
        <v>15</v>
      </c>
      <c r="C10" s="13" t="n">
        <v>0</v>
      </c>
      <c r="D10" s="11" t="n">
        <v>0</v>
      </c>
      <c r="E10" s="11" t="n">
        <v>1</v>
      </c>
      <c r="F10" s="11" t="n">
        <v>2</v>
      </c>
      <c r="G10" s="11" t="n">
        <v>2</v>
      </c>
      <c r="H10" s="11" t="n">
        <v>3</v>
      </c>
      <c r="I10" s="11" t="n">
        <v>3</v>
      </c>
      <c r="J10" s="11" t="n">
        <v>3</v>
      </c>
      <c r="K10" s="11" t="n">
        <v>3</v>
      </c>
      <c r="L10" s="11" t="n">
        <v>3</v>
      </c>
      <c r="M10" s="11" t="n">
        <v>3</v>
      </c>
      <c r="N10" s="11" t="n">
        <v>3</v>
      </c>
      <c r="O10" s="11" t="n">
        <v>3</v>
      </c>
      <c r="P10" s="14">
        <f>SUM(D10:O10)</f>
        <v>29.0</v>
      </c>
      <c r="Q10" s="15">
        <f>B10*P10/12</f>
        <v>36.25</v>
      </c>
    </row>
    <row r="11">
      <c r="A11" s="2" t="inlineStr">
        <is>
          <t>质量 / 注册与合规</t>
        </is>
      </c>
      <c r="B11" s="10" t="n">
        <v>40</v>
      </c>
      <c r="C11" s="13" t="n">
        <v>0</v>
      </c>
      <c r="D11" s="11" t="n">
        <v>0</v>
      </c>
      <c r="E11" s="11" t="n">
        <v>0</v>
      </c>
      <c r="F11" s="11" t="n">
        <v>0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  <c r="M11" s="11" t="n">
        <v>1</v>
      </c>
      <c r="N11" s="11" t="n">
        <v>1</v>
      </c>
      <c r="O11" s="11" t="n">
        <v>1</v>
      </c>
      <c r="P11" s="14">
        <f>SUM(D11:O11)</f>
        <v>9.0</v>
      </c>
      <c r="Q11" s="15">
        <f>B11*P11/12</f>
        <v>30.0</v>
      </c>
    </row>
    <row r="12">
      <c r="A12" s="2" t="inlineStr">
        <is>
          <t>商务拓展（BD）</t>
        </is>
      </c>
      <c r="B12" s="10" t="n">
        <v>45</v>
      </c>
      <c r="C12" s="13" t="n">
        <v>0</v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1</v>
      </c>
      <c r="I12" s="11" t="n">
        <v>1</v>
      </c>
      <c r="J12" s="11" t="n">
        <v>2</v>
      </c>
      <c r="K12" s="11" t="n">
        <v>2</v>
      </c>
      <c r="L12" s="11" t="n">
        <v>2</v>
      </c>
      <c r="M12" s="11" t="n">
        <v>2</v>
      </c>
      <c r="N12" s="11" t="n">
        <v>2</v>
      </c>
      <c r="O12" s="11" t="n">
        <v>2</v>
      </c>
      <c r="P12" s="14">
        <f>SUM(D12:O12)</f>
        <v>15.0</v>
      </c>
      <c r="Q12" s="15">
        <f>B12*P12/12</f>
        <v>56.25</v>
      </c>
    </row>
    <row r="13">
      <c r="A13" s="2" t="inlineStr">
        <is>
          <t>行政 / 财务 / HR</t>
        </is>
      </c>
      <c r="B13" s="10" t="n">
        <v>20</v>
      </c>
      <c r="C13" s="13" t="n">
        <v>0</v>
      </c>
      <c r="D13" s="11" t="n">
        <v>1</v>
      </c>
      <c r="E13" s="11" t="n">
        <v>1</v>
      </c>
      <c r="F13" s="11" t="n">
        <v>2</v>
      </c>
      <c r="G13" s="11" t="n">
        <v>2</v>
      </c>
      <c r="H13" s="11" t="n">
        <v>2</v>
      </c>
      <c r="I13" s="11" t="n">
        <v>2</v>
      </c>
      <c r="J13" s="11" t="n">
        <v>2</v>
      </c>
      <c r="K13" s="11" t="n">
        <v>2</v>
      </c>
      <c r="L13" s="11" t="n">
        <v>2</v>
      </c>
      <c r="M13" s="11" t="n">
        <v>2</v>
      </c>
      <c r="N13" s="11" t="n">
        <v>2</v>
      </c>
      <c r="O13" s="11" t="n">
        <v>2</v>
      </c>
      <c r="P13" s="14">
        <f>SUM(D13:O13)</f>
        <v>22.0</v>
      </c>
      <c r="Q13" s="15">
        <f>B13*P13/12</f>
        <v>36.666666666666664</v>
      </c>
    </row>
    <row r="14">
      <c r="A14" s="3" t="inlineStr">
        <is>
          <t>在岗人数合计</t>
        </is>
      </c>
      <c r="B14" s="2" t="n"/>
      <c r="C14" s="16">
        <f>SUM(C5:C13)</f>
        <v>0.0</v>
      </c>
      <c r="D14" s="16">
        <f>SUM(D5:D13)</f>
        <v>8.0</v>
      </c>
      <c r="E14" s="16">
        <f>SUM(E5:E13)</f>
        <v>13.0</v>
      </c>
      <c r="F14" s="16">
        <f>SUM(F5:F13)</f>
        <v>17.0</v>
      </c>
      <c r="G14" s="16">
        <f>SUM(G5:G13)</f>
        <v>22.0</v>
      </c>
      <c r="H14" s="16">
        <f>SUM(H5:H13)</f>
        <v>24.0</v>
      </c>
      <c r="I14" s="16">
        <f>SUM(I5:I13)</f>
        <v>25.0</v>
      </c>
      <c r="J14" s="16">
        <f>SUM(J5:J13)</f>
        <v>28.0</v>
      </c>
      <c r="K14" s="16">
        <f>SUM(K5:K13)</f>
        <v>28.0</v>
      </c>
      <c r="L14" s="16">
        <f>SUM(L5:L13)</f>
        <v>31.0</v>
      </c>
      <c r="M14" s="16">
        <f>SUM(M5:M13)</f>
        <v>31.0</v>
      </c>
      <c r="N14" s="16">
        <f>SUM(N5:N13)</f>
        <v>31.0</v>
      </c>
      <c r="O14" s="16">
        <f>SUM(O5:O13)</f>
        <v>31.0</v>
      </c>
      <c r="P14" s="16">
        <f>SUM(P5:P13)</f>
        <v>289.0</v>
      </c>
      <c r="Q14" s="15">
        <f>SUM(Q5:Q13)</f>
        <v>804.75</v>
      </c>
    </row>
    <row r="15">
      <c r="A15" s="3" t="inlineStr">
        <is>
          <t>当月人力成本（万元）</t>
        </is>
      </c>
      <c r="B15" s="2" t="n"/>
      <c r="C15" s="2" t="n"/>
      <c r="D15" s="15">
        <f>SUMPRODUCT($B$5:$B$13,D5:D13)/12</f>
        <v>24.25</v>
      </c>
      <c r="E15" s="15">
        <f>SUMPRODUCT($B$5:$B$13,E5:E13)/12</f>
        <v>36.416666666666664</v>
      </c>
      <c r="F15" s="15">
        <f>SUMPRODUCT($B$5:$B$13,F5:F13)/12</f>
        <v>47.25</v>
      </c>
      <c r="G15" s="15">
        <f>SUMPRODUCT($B$5:$B$13,G5:G13)/12</f>
        <v>61.916666666666664</v>
      </c>
      <c r="H15" s="15">
        <f>SUMPRODUCT($B$5:$B$13,H5:H13)/12</f>
        <v>66.5</v>
      </c>
      <c r="I15" s="15">
        <f>SUMPRODUCT($B$5:$B$13,I5:I13)/12</f>
        <v>71.08333333333333</v>
      </c>
      <c r="J15" s="15">
        <f>SUMPRODUCT($B$5:$B$13,J5:J13)/12</f>
        <v>77.83333333333333</v>
      </c>
      <c r="K15" s="15">
        <f>SUMPRODUCT($B$5:$B$13,K5:K13)/12</f>
        <v>77.83333333333333</v>
      </c>
      <c r="L15" s="15">
        <f>SUMPRODUCT($B$5:$B$13,L5:L13)/12</f>
        <v>85.41666666666667</v>
      </c>
      <c r="M15" s="15">
        <f>SUMPRODUCT($B$5:$B$13,M5:M13)/12</f>
        <v>85.41666666666667</v>
      </c>
      <c r="N15" s="15">
        <f>SUMPRODUCT($B$5:$B$13,N5:N13)/12</f>
        <v>85.41666666666667</v>
      </c>
      <c r="O15" s="15">
        <f>SUMPRODUCT($B$5:$B$13,O5:O13)/12</f>
        <v>85.41666666666667</v>
      </c>
      <c r="P15" s="2" t="n"/>
      <c r="Q15" s="15">
        <f>SUM(D15:O15)</f>
        <v>804.7499999999999</v>
      </c>
    </row>
    <row r="16">
      <c r="A16" s="3" t="inlineStr">
        <is>
          <t>当月招聘费用（万元）</t>
        </is>
      </c>
      <c r="B16" s="2" t="n"/>
      <c r="C16" s="2" t="n"/>
      <c r="D16" s="15">
        <f>假设!$B$53*SUMPRODUCT($B$5:$B$13,(D5:D13&gt;C5:C13)*(D5:D13-C5:C13))</f>
        <v>29.1</v>
      </c>
      <c r="E16" s="15">
        <f>假设!$B$53*SUMPRODUCT($B$5:$B$13,(E5:E13&gt;D5:D13)*(E5:E13-D5:D13))</f>
        <v>14.600000000000001</v>
      </c>
      <c r="F16" s="15">
        <f>假设!$B$53*SUMPRODUCT($B$5:$B$13,(F5:F13&gt;E5:E13)*(F5:F13-E5:E13))</f>
        <v>13.0</v>
      </c>
      <c r="G16" s="15">
        <f>假设!$B$53*SUMPRODUCT($B$5:$B$13,(G5:G13&gt;F5:F13)*(G5:G13-F5:F13))</f>
        <v>17.6</v>
      </c>
      <c r="H16" s="15">
        <f>假设!$B$53*SUMPRODUCT($B$5:$B$13,(H5:H13&gt;G5:G13)*(H5:H13-G5:G13))</f>
        <v>5.5</v>
      </c>
      <c r="I16" s="15">
        <f>假设!$B$53*SUMPRODUCT($B$5:$B$13,(I5:I13&gt;H5:H13)*(I5:I13-H5:H13))</f>
        <v>5.5</v>
      </c>
      <c r="J16" s="15">
        <f>假设!$B$53*SUMPRODUCT($B$5:$B$13,(J5:J13&gt;I5:I13)*(J5:J13-I5:I13))</f>
        <v>8.1</v>
      </c>
      <c r="K16" s="15">
        <f>假设!$B$53*SUMPRODUCT($B$5:$B$13,(K5:K13&gt;J5:J13)*(K5:K13-J5:J13))</f>
        <v>0.0</v>
      </c>
      <c r="L16" s="15">
        <f>假设!$B$53*SUMPRODUCT($B$5:$B$13,(L5:L13&gt;K5:K13)*(L5:L13-K5:K13))</f>
        <v>9.1</v>
      </c>
      <c r="M16" s="15">
        <f>假设!$B$53*SUMPRODUCT($B$5:$B$13,(M5:M13&gt;L5:L13)*(M5:M13-L5:L13))</f>
        <v>0.0</v>
      </c>
      <c r="N16" s="15">
        <f>假设!$B$53*SUMPRODUCT($B$5:$B$13,(N5:N13&gt;M5:M13)*(N5:N13-M5:M13))</f>
        <v>0.0</v>
      </c>
      <c r="O16" s="15">
        <f>假设!$B$53*SUMPRODUCT($B$5:$B$13,(O5:O13&gt;N5:N13)*(O5:O13-N5:N13))</f>
        <v>0.0</v>
      </c>
      <c r="P16" s="2" t="n"/>
      <c r="Q16" s="15">
        <f>SUM(D16:O16)</f>
        <v>102.5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Plan A 月度预算（万元）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第 4 行为月份序号；第 5 行病例入组数为输入（蓝色）。其余为公式。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4" t="inlineStr">
        <is>
          <t>类别</t>
        </is>
      </c>
      <c r="B3" s="4" t="inlineStr">
        <is>
          <t>项目</t>
        </is>
      </c>
      <c r="C3" s="4" t="inlineStr">
        <is>
          <t>M1</t>
        </is>
      </c>
      <c r="D3" s="4" t="inlineStr">
        <is>
          <t>M2</t>
        </is>
      </c>
      <c r="E3" s="4" t="inlineStr">
        <is>
          <t>M3</t>
        </is>
      </c>
      <c r="F3" s="4" t="inlineStr">
        <is>
          <t>M4</t>
        </is>
      </c>
      <c r="G3" s="4" t="inlineStr">
        <is>
          <t>M5</t>
        </is>
      </c>
      <c r="H3" s="4" t="inlineStr">
        <is>
          <t>M6</t>
        </is>
      </c>
      <c r="I3" s="4" t="inlineStr">
        <is>
          <t>M7</t>
        </is>
      </c>
      <c r="J3" s="4" t="inlineStr">
        <is>
          <t>M8</t>
        </is>
      </c>
      <c r="K3" s="4" t="inlineStr">
        <is>
          <t>M9</t>
        </is>
      </c>
      <c r="L3" s="4" t="inlineStr">
        <is>
          <t>M10</t>
        </is>
      </c>
      <c r="M3" s="4" t="inlineStr">
        <is>
          <t>M11</t>
        </is>
      </c>
      <c r="N3" s="4" t="inlineStr">
        <is>
          <t>M12</t>
        </is>
      </c>
      <c r="O3" s="4" t="inlineStr">
        <is>
          <t>12 个月合计</t>
        </is>
      </c>
    </row>
    <row r="4">
      <c r="A4" s="2" t="n"/>
      <c r="B4" s="2" t="inlineStr">
        <is>
          <t>月份序号</t>
        </is>
      </c>
      <c r="C4" s="14" t="n">
        <v>1</v>
      </c>
      <c r="D4" s="14" t="n">
        <v>2</v>
      </c>
      <c r="E4" s="14" t="n">
        <v>3</v>
      </c>
      <c r="F4" s="14" t="n">
        <v>4</v>
      </c>
      <c r="G4" s="14" t="n">
        <v>5</v>
      </c>
      <c r="H4" s="14" t="n">
        <v>6</v>
      </c>
      <c r="I4" s="14" t="n">
        <v>7</v>
      </c>
      <c r="J4" s="14" t="n">
        <v>8</v>
      </c>
      <c r="K4" s="14" t="n">
        <v>9</v>
      </c>
      <c r="L4" s="14" t="n">
        <v>10</v>
      </c>
      <c r="M4" s="14" t="n">
        <v>11</v>
      </c>
      <c r="N4" s="14" t="n">
        <v>12</v>
      </c>
      <c r="O4" s="2" t="n"/>
    </row>
    <row r="5">
      <c r="A5" s="2" t="n"/>
      <c r="B5" s="2" t="inlineStr">
        <is>
          <t>新入组病例数（例）</t>
        </is>
      </c>
      <c r="C5" s="12" t="n">
        <v>0</v>
      </c>
      <c r="D5" s="12" t="n">
        <v>0</v>
      </c>
      <c r="E5" s="12" t="n">
        <v>2</v>
      </c>
      <c r="F5" s="12" t="n">
        <v>3</v>
      </c>
      <c r="G5" s="12" t="n">
        <v>4</v>
      </c>
      <c r="H5" s="12" t="n">
        <v>5</v>
      </c>
      <c r="I5" s="12" t="n">
        <v>8</v>
      </c>
      <c r="J5" s="12" t="n">
        <v>8</v>
      </c>
      <c r="K5" s="12" t="n">
        <v>9</v>
      </c>
      <c r="L5" s="12" t="n">
        <v>9</v>
      </c>
      <c r="M5" s="12" t="n">
        <v>9</v>
      </c>
      <c r="N5" s="12" t="n">
        <v>9</v>
      </c>
      <c r="O5" s="14">
        <f>SUM(C5:N5)</f>
        <v>66.0</v>
      </c>
    </row>
    <row r="6">
      <c r="A6" s="2" t="n"/>
      <c r="B6" s="2" t="inlineStr">
        <is>
          <t>其中成功建模（例）</t>
        </is>
      </c>
      <c r="C6" s="15">
        <f>C5*假设!$B$18</f>
        <v>0.0</v>
      </c>
      <c r="D6" s="15">
        <f>D5*假设!$B$18</f>
        <v>0.0</v>
      </c>
      <c r="E6" s="15">
        <f>E5*假设!$B$18</f>
        <v>1.4</v>
      </c>
      <c r="F6" s="15">
        <f>F5*假设!$B$18</f>
        <v>2.0999999999999996</v>
      </c>
      <c r="G6" s="15">
        <f>G5*假设!$B$18</f>
        <v>2.8</v>
      </c>
      <c r="H6" s="15">
        <f>H5*假设!$B$18</f>
        <v>3.5</v>
      </c>
      <c r="I6" s="15">
        <f>I5*假设!$B$18</f>
        <v>5.6</v>
      </c>
      <c r="J6" s="15">
        <f>J5*假设!$B$18</f>
        <v>5.6</v>
      </c>
      <c r="K6" s="15">
        <f>K5*假设!$B$18</f>
        <v>6.3</v>
      </c>
      <c r="L6" s="15">
        <f>L5*假设!$B$18</f>
        <v>6.3</v>
      </c>
      <c r="M6" s="15">
        <f>M5*假设!$B$18</f>
        <v>6.3</v>
      </c>
      <c r="N6" s="15">
        <f>N5*假设!$B$18</f>
        <v>6.3</v>
      </c>
      <c r="O6" s="15">
        <f>SUM(C6:N6)</f>
        <v>46.199999999999996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人员</t>
        </is>
      </c>
      <c r="B8" s="2" t="inlineStr">
        <is>
          <t>人员薪酬（含社保公积金）</t>
        </is>
      </c>
      <c r="C8" s="17">
        <f>人员!D15</f>
        <v>24.25</v>
      </c>
      <c r="D8" s="17">
        <f>人员!E15</f>
        <v>36.416666666666664</v>
      </c>
      <c r="E8" s="17">
        <f>人员!F15</f>
        <v>47.25</v>
      </c>
      <c r="F8" s="17">
        <f>人员!G15</f>
        <v>61.916666666666664</v>
      </c>
      <c r="G8" s="17">
        <f>人员!H15</f>
        <v>66.5</v>
      </c>
      <c r="H8" s="17">
        <f>人员!I15</f>
        <v>71.08333333333333</v>
      </c>
      <c r="I8" s="17">
        <f>人员!J15</f>
        <v>77.83333333333333</v>
      </c>
      <c r="J8" s="17">
        <f>人员!K15</f>
        <v>77.83333333333333</v>
      </c>
      <c r="K8" s="17">
        <f>人员!L15</f>
        <v>85.41666666666667</v>
      </c>
      <c r="L8" s="17">
        <f>人员!M15</f>
        <v>85.41666666666667</v>
      </c>
      <c r="M8" s="17">
        <f>人员!N15</f>
        <v>85.41666666666667</v>
      </c>
      <c r="N8" s="17">
        <f>人员!O15</f>
        <v>85.41666666666667</v>
      </c>
      <c r="O8" s="15">
        <f>SUM(C8:N8)</f>
        <v>804.7499999999999</v>
      </c>
    </row>
    <row r="9">
      <c r="A9" s="2" t="inlineStr"/>
      <c r="B9" s="2" t="inlineStr">
        <is>
          <t>招聘费用</t>
        </is>
      </c>
      <c r="C9" s="17">
        <f>人员!D16</f>
        <v>29.1</v>
      </c>
      <c r="D9" s="17">
        <f>人员!E16</f>
        <v>14.600000000000001</v>
      </c>
      <c r="E9" s="17">
        <f>人员!F16</f>
        <v>13.0</v>
      </c>
      <c r="F9" s="17">
        <f>人员!G16</f>
        <v>17.6</v>
      </c>
      <c r="G9" s="17">
        <f>人员!H16</f>
        <v>5.5</v>
      </c>
      <c r="H9" s="17">
        <f>人员!I16</f>
        <v>5.5</v>
      </c>
      <c r="I9" s="17">
        <f>人员!J16</f>
        <v>8.1</v>
      </c>
      <c r="J9" s="17">
        <f>人员!K16</f>
        <v>0.0</v>
      </c>
      <c r="K9" s="17">
        <f>人员!L16</f>
        <v>9.1</v>
      </c>
      <c r="L9" s="17">
        <f>人员!M16</f>
        <v>0.0</v>
      </c>
      <c r="M9" s="17">
        <f>人员!N16</f>
        <v>0.0</v>
      </c>
      <c r="N9" s="17">
        <f>人员!O16</f>
        <v>0.0</v>
      </c>
      <c r="O9" s="15">
        <f>SUM(C9:N9)</f>
        <v>102.5</v>
      </c>
    </row>
    <row r="10">
      <c r="A10" s="18" t="n"/>
      <c r="B10" s="19" t="inlineStr">
        <is>
          <t>人员 小计</t>
        </is>
      </c>
      <c r="C10" s="20">
        <f>SUM(C8:C9)</f>
        <v>53.35</v>
      </c>
      <c r="D10" s="20">
        <f>SUM(D8:D9)</f>
        <v>51.016666666666666</v>
      </c>
      <c r="E10" s="20">
        <f>SUM(E8:E9)</f>
        <v>60.25</v>
      </c>
      <c r="F10" s="20">
        <f>SUM(F8:F9)</f>
        <v>79.51666666666667</v>
      </c>
      <c r="G10" s="20">
        <f>SUM(G8:G9)</f>
        <v>72.0</v>
      </c>
      <c r="H10" s="20">
        <f>SUM(H8:H9)</f>
        <v>76.58333333333333</v>
      </c>
      <c r="I10" s="20">
        <f>SUM(I8:I9)</f>
        <v>85.93333333333332</v>
      </c>
      <c r="J10" s="20">
        <f>SUM(J8:J9)</f>
        <v>77.83333333333333</v>
      </c>
      <c r="K10" s="20">
        <f>SUM(K8:K9)</f>
        <v>94.51666666666667</v>
      </c>
      <c r="L10" s="20">
        <f>SUM(L8:L9)</f>
        <v>85.41666666666667</v>
      </c>
      <c r="M10" s="20">
        <f>SUM(M8:M9)</f>
        <v>85.41666666666667</v>
      </c>
      <c r="N10" s="20">
        <f>SUM(N8:N9)</f>
        <v>85.41666666666667</v>
      </c>
      <c r="O10" s="20">
        <f>SUM(O8:O9)</f>
        <v>907.2499999999999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实验与样本</t>
        </is>
      </c>
      <c r="B12" s="2" t="inlineStr">
        <is>
          <t>设备采购</t>
        </is>
      </c>
      <c r="C12" s="15">
        <f>假设!$B$8*((C$4=1)*假设!$B$9+(C$4=2)*假设!$B$10+(C$4=3)*假设!$B$11)</f>
        <v>400.0</v>
      </c>
      <c r="D12" s="15">
        <f>假设!$B$8*((D$4=1)*假设!$B$9+(D$4=2)*假设!$B$10+(D$4=3)*假设!$B$11)</f>
        <v>240.0</v>
      </c>
      <c r="E12" s="15">
        <f>假设!$B$8*((E$4=1)*假设!$B$9+(E$4=2)*假设!$B$10+(E$4=3)*假设!$B$11)</f>
        <v>160.0</v>
      </c>
      <c r="F12" s="15">
        <f>假设!$B$8*((F$4=1)*假设!$B$9+(F$4=2)*假设!$B$10+(F$4=3)*假设!$B$11)</f>
        <v>0.0</v>
      </c>
      <c r="G12" s="15">
        <f>假设!$B$8*((G$4=1)*假设!$B$9+(G$4=2)*假设!$B$10+(G$4=3)*假设!$B$11)</f>
        <v>0.0</v>
      </c>
      <c r="H12" s="15">
        <f>假设!$B$8*((H$4=1)*假设!$B$9+(H$4=2)*假设!$B$10+(H$4=3)*假设!$B$11)</f>
        <v>0.0</v>
      </c>
      <c r="I12" s="15">
        <f>假设!$B$8*((I$4=1)*假设!$B$9+(I$4=2)*假设!$B$10+(I$4=3)*假设!$B$11)</f>
        <v>0.0</v>
      </c>
      <c r="J12" s="15">
        <f>假设!$B$8*((J$4=1)*假设!$B$9+(J$4=2)*假设!$B$10+(J$4=3)*假设!$B$11)</f>
        <v>0.0</v>
      </c>
      <c r="K12" s="15">
        <f>假设!$B$8*((K$4=1)*假设!$B$9+(K$4=2)*假设!$B$10+(K$4=3)*假设!$B$11)</f>
        <v>0.0</v>
      </c>
      <c r="L12" s="15">
        <f>假设!$B$8*((L$4=1)*假设!$B$9+(L$4=2)*假设!$B$10+(L$4=3)*假设!$B$11)</f>
        <v>0.0</v>
      </c>
      <c r="M12" s="15">
        <f>假设!$B$8*((M$4=1)*假设!$B$9+(M$4=2)*假设!$B$10+(M$4=3)*假设!$B$11)</f>
        <v>0.0</v>
      </c>
      <c r="N12" s="15">
        <f>假设!$B$8*((N$4=1)*假设!$B$9+(N$4=2)*假设!$B$10+(N$4=3)*假设!$B$11)</f>
        <v>0.0</v>
      </c>
      <c r="O12" s="15">
        <f>SUM(C12:N12)</f>
        <v>800.0</v>
      </c>
    </row>
    <row r="13">
      <c r="A13" s="2" t="inlineStr"/>
      <c r="B13" s="2" t="inlineStr">
        <is>
          <t>实验室装修</t>
        </is>
      </c>
      <c r="C13" s="15">
        <f>(C$4=1)*假设!$B$12</f>
        <v>150.0</v>
      </c>
      <c r="D13" s="15">
        <f>(D$4=1)*假设!$B$12</f>
        <v>0.0</v>
      </c>
      <c r="E13" s="15">
        <f>(E$4=1)*假设!$B$12</f>
        <v>0.0</v>
      </c>
      <c r="F13" s="15">
        <f>(F$4=1)*假设!$B$12</f>
        <v>0.0</v>
      </c>
      <c r="G13" s="15">
        <f>(G$4=1)*假设!$B$12</f>
        <v>0.0</v>
      </c>
      <c r="H13" s="15">
        <f>(H$4=1)*假设!$B$12</f>
        <v>0.0</v>
      </c>
      <c r="I13" s="15">
        <f>(I$4=1)*假设!$B$12</f>
        <v>0.0</v>
      </c>
      <c r="J13" s="15">
        <f>(J$4=1)*假设!$B$12</f>
        <v>0.0</v>
      </c>
      <c r="K13" s="15">
        <f>(K$4=1)*假设!$B$12</f>
        <v>0.0</v>
      </c>
      <c r="L13" s="15">
        <f>(L$4=1)*假设!$B$12</f>
        <v>0.0</v>
      </c>
      <c r="M13" s="15">
        <f>(M$4=1)*假设!$B$12</f>
        <v>0.0</v>
      </c>
      <c r="N13" s="15">
        <f>(N$4=1)*假设!$B$12</f>
        <v>0.0</v>
      </c>
      <c r="O13" s="15">
        <f>SUM(C13:N13)</f>
        <v>150.0</v>
      </c>
    </row>
    <row r="14">
      <c r="A14" s="2" t="inlineStr"/>
      <c r="B14" s="2" t="inlineStr">
        <is>
          <t>实验室租金</t>
        </is>
      </c>
      <c r="C14" s="15">
        <f>假设!$B$13*假设!$B$14*30/10000</f>
        <v>6.75</v>
      </c>
      <c r="D14" s="15">
        <f>假设!$B$13*假设!$B$14*30/10000</f>
        <v>6.75</v>
      </c>
      <c r="E14" s="15">
        <f>假设!$B$13*假设!$B$14*30/10000</f>
        <v>6.75</v>
      </c>
      <c r="F14" s="15">
        <f>假设!$B$13*假设!$B$14*30/10000</f>
        <v>6.75</v>
      </c>
      <c r="G14" s="15">
        <f>假设!$B$13*假设!$B$14*30/10000</f>
        <v>6.75</v>
      </c>
      <c r="H14" s="15">
        <f>假设!$B$13*假设!$B$14*30/10000</f>
        <v>6.75</v>
      </c>
      <c r="I14" s="15">
        <f>假设!$B$13*假设!$B$14*30/10000</f>
        <v>6.75</v>
      </c>
      <c r="J14" s="15">
        <f>假设!$B$13*假设!$B$14*30/10000</f>
        <v>6.75</v>
      </c>
      <c r="K14" s="15">
        <f>假设!$B$13*假设!$B$14*30/10000</f>
        <v>6.75</v>
      </c>
      <c r="L14" s="15">
        <f>假设!$B$13*假设!$B$14*30/10000</f>
        <v>6.75</v>
      </c>
      <c r="M14" s="15">
        <f>假设!$B$13*假设!$B$14*30/10000</f>
        <v>6.75</v>
      </c>
      <c r="N14" s="15">
        <f>假设!$B$13*假设!$B$14*30/10000</f>
        <v>6.75</v>
      </c>
      <c r="O14" s="15">
        <f>SUM(C14:N14)</f>
        <v>81.0</v>
      </c>
    </row>
    <row r="15">
      <c r="A15" s="2" t="inlineStr"/>
      <c r="B15" s="2" t="inlineStr">
        <is>
          <t>样本获取与类器官建立（全部入组病例）</t>
        </is>
      </c>
      <c r="C15" s="15">
        <f>C$5*(假设!$B$19+假设!$B$20)</f>
        <v>0.0</v>
      </c>
      <c r="D15" s="15">
        <f>D$5*(假设!$B$19+假设!$B$20)</f>
        <v>0.0</v>
      </c>
      <c r="E15" s="15">
        <f>E$5*(假设!$B$19+假设!$B$20)</f>
        <v>7.0</v>
      </c>
      <c r="F15" s="15">
        <f>F$5*(假设!$B$19+假设!$B$20)</f>
        <v>10.5</v>
      </c>
      <c r="G15" s="15">
        <f>G$5*(假设!$B$19+假设!$B$20)</f>
        <v>14.0</v>
      </c>
      <c r="H15" s="15">
        <f>H$5*(假设!$B$19+假设!$B$20)</f>
        <v>17.5</v>
      </c>
      <c r="I15" s="15">
        <f>I$5*(假设!$B$19+假设!$B$20)</f>
        <v>28.0</v>
      </c>
      <c r="J15" s="15">
        <f>J$5*(假设!$B$19+假设!$B$20)</f>
        <v>28.0</v>
      </c>
      <c r="K15" s="15">
        <f>K$5*(假设!$B$19+假设!$B$20)</f>
        <v>31.5</v>
      </c>
      <c r="L15" s="15">
        <f>L$5*(假设!$B$19+假设!$B$20)</f>
        <v>31.5</v>
      </c>
      <c r="M15" s="15">
        <f>M$5*(假设!$B$19+假设!$B$20)</f>
        <v>31.5</v>
      </c>
      <c r="N15" s="15">
        <f>N$5*(假设!$B$19+假设!$B$20)</f>
        <v>31.5</v>
      </c>
      <c r="O15" s="15">
        <f>SUM(C15:N15)</f>
        <v>231.0</v>
      </c>
    </row>
    <row r="16">
      <c r="A16" s="2" t="inlineStr"/>
      <c r="B16" s="2" t="inlineStr">
        <is>
          <t>扰动实验与多组学读出（成功建模病例）</t>
        </is>
      </c>
      <c r="C16" s="15">
        <f>C$6*(假设!$B$21+假设!$B$22+假设!$B$23+假设!$B$24+假设!$B$25+假设!$B$26)</f>
        <v>0.0</v>
      </c>
      <c r="D16" s="15">
        <f>D$6*(假设!$B$21+假设!$B$22+假设!$B$23+假设!$B$24+假设!$B$25+假设!$B$26)</f>
        <v>0.0</v>
      </c>
      <c r="E16" s="15">
        <f>E$6*(假设!$B$21+假设!$B$22+假设!$B$23+假设!$B$24+假设!$B$25+假设!$B$26)</f>
        <v>17.639999999999997</v>
      </c>
      <c r="F16" s="15">
        <f>F$6*(假设!$B$21+假设!$B$22+假设!$B$23+假设!$B$24+假设!$B$25+假设!$B$26)</f>
        <v>26.459999999999994</v>
      </c>
      <c r="G16" s="15">
        <f>G$6*(假设!$B$21+假设!$B$22+假设!$B$23+假设!$B$24+假设!$B$25+假设!$B$26)</f>
        <v>35.279999999999994</v>
      </c>
      <c r="H16" s="15">
        <f>H$6*(假设!$B$21+假设!$B$22+假设!$B$23+假设!$B$24+假设!$B$25+假设!$B$26)</f>
        <v>44.1</v>
      </c>
      <c r="I16" s="15">
        <f>I$6*(假设!$B$21+假设!$B$22+假设!$B$23+假设!$B$24+假设!$B$25+假设!$B$26)</f>
        <v>70.55999999999999</v>
      </c>
      <c r="J16" s="15">
        <f>J$6*(假设!$B$21+假设!$B$22+假设!$B$23+假设!$B$24+假设!$B$25+假设!$B$26)</f>
        <v>70.55999999999999</v>
      </c>
      <c r="K16" s="15">
        <f>K$6*(假设!$B$21+假设!$B$22+假设!$B$23+假设!$B$24+假设!$B$25+假设!$B$26)</f>
        <v>79.38</v>
      </c>
      <c r="L16" s="15">
        <f>L$6*(假设!$B$21+假设!$B$22+假设!$B$23+假设!$B$24+假设!$B$25+假设!$B$26)</f>
        <v>79.38</v>
      </c>
      <c r="M16" s="15">
        <f>M$6*(假设!$B$21+假设!$B$22+假设!$B$23+假设!$B$24+假设!$B$25+假设!$B$26)</f>
        <v>79.38</v>
      </c>
      <c r="N16" s="15">
        <f>N$6*(假设!$B$21+假设!$B$22+假设!$B$23+假设!$B$24+假设!$B$25+假设!$B$26)</f>
        <v>79.38</v>
      </c>
      <c r="O16" s="15">
        <f>SUM(C16:N16)</f>
        <v>582.1199999999999</v>
      </c>
    </row>
    <row r="17">
      <c r="A17" s="2" t="inlineStr"/>
      <c r="B17" s="2" t="inlineStr">
        <is>
          <t>回顾性验证样本</t>
        </is>
      </c>
      <c r="C17" s="15">
        <f>AND(C$4&gt;=8,C$4&lt;=11)*假设!$B$27*假设!$B$28/4</f>
        <v>0.0</v>
      </c>
      <c r="D17" s="15">
        <f>AND(D$4&gt;=8,D$4&lt;=11)*假设!$B$27*假设!$B$28/4</f>
        <v>0.0</v>
      </c>
      <c r="E17" s="15">
        <f>AND(E$4&gt;=8,E$4&lt;=11)*假设!$B$27*假设!$B$28/4</f>
        <v>0.0</v>
      </c>
      <c r="F17" s="15">
        <f>AND(F$4&gt;=8,F$4&lt;=11)*假设!$B$27*假设!$B$28/4</f>
        <v>0.0</v>
      </c>
      <c r="G17" s="15">
        <f>AND(G$4&gt;=8,G$4&lt;=11)*假设!$B$27*假设!$B$28/4</f>
        <v>0.0</v>
      </c>
      <c r="H17" s="15">
        <f>AND(H$4&gt;=8,H$4&lt;=11)*假设!$B$27*假设!$B$28/4</f>
        <v>0.0</v>
      </c>
      <c r="I17" s="15">
        <f>AND(I$4&gt;=8,I$4&lt;=11)*假设!$B$27*假设!$B$28/4</f>
        <v>0.0</v>
      </c>
      <c r="J17" s="15">
        <f>AND(J$4&gt;=8,J$4&lt;=11)*假设!$B$27*假设!$B$28/4</f>
        <v>22.5</v>
      </c>
      <c r="K17" s="15">
        <f>AND(K$4&gt;=8,K$4&lt;=11)*假设!$B$27*假设!$B$28/4</f>
        <v>22.5</v>
      </c>
      <c r="L17" s="15">
        <f>AND(L$4&gt;=8,L$4&lt;=11)*假设!$B$27*假设!$B$28/4</f>
        <v>22.5</v>
      </c>
      <c r="M17" s="15">
        <f>AND(M$4&gt;=8,M$4&lt;=11)*假设!$B$27*假设!$B$28/4</f>
        <v>22.5</v>
      </c>
      <c r="N17" s="15">
        <f>AND(N$4&gt;=8,N$4&lt;=11)*假设!$B$27*假设!$B$28/4</f>
        <v>0.0</v>
      </c>
      <c r="O17" s="15">
        <f>SUM(C17:N17)</f>
        <v>90.0</v>
      </c>
    </row>
    <row r="18">
      <c r="A18" s="2" t="inlineStr"/>
      <c r="B18" s="2" t="inlineStr">
        <is>
          <t>通用实验耗材</t>
        </is>
      </c>
      <c r="C18" s="15">
        <f>(C$4&gt;=2)*假设!$B$15</f>
        <v>0.0</v>
      </c>
      <c r="D18" s="15">
        <f>(D$4&gt;=2)*假设!$B$15</f>
        <v>8.0</v>
      </c>
      <c r="E18" s="15">
        <f>(E$4&gt;=2)*假设!$B$15</f>
        <v>8.0</v>
      </c>
      <c r="F18" s="15">
        <f>(F$4&gt;=2)*假设!$B$15</f>
        <v>8.0</v>
      </c>
      <c r="G18" s="15">
        <f>(G$4&gt;=2)*假设!$B$15</f>
        <v>8.0</v>
      </c>
      <c r="H18" s="15">
        <f>(H$4&gt;=2)*假设!$B$15</f>
        <v>8.0</v>
      </c>
      <c r="I18" s="15">
        <f>(I$4&gt;=2)*假设!$B$15</f>
        <v>8.0</v>
      </c>
      <c r="J18" s="15">
        <f>(J$4&gt;=2)*假设!$B$15</f>
        <v>8.0</v>
      </c>
      <c r="K18" s="15">
        <f>(K$4&gt;=2)*假设!$B$15</f>
        <v>8.0</v>
      </c>
      <c r="L18" s="15">
        <f>(L$4&gt;=2)*假设!$B$15</f>
        <v>8.0</v>
      </c>
      <c r="M18" s="15">
        <f>(M$4&gt;=2)*假设!$B$15</f>
        <v>8.0</v>
      </c>
      <c r="N18" s="15">
        <f>(N$4&gt;=2)*假设!$B$15</f>
        <v>8.0</v>
      </c>
      <c r="O18" s="15">
        <f>SUM(C18:N18)</f>
        <v>88.0</v>
      </c>
    </row>
    <row r="19">
      <c r="A19" s="2" t="inlineStr"/>
      <c r="B19" s="2" t="inlineStr">
        <is>
          <t>设备维保</t>
        </is>
      </c>
      <c r="C19" s="15">
        <f>(C$4&gt;=4)*假设!$B$8*假设!$B$16/12</f>
        <v>0.0</v>
      </c>
      <c r="D19" s="15">
        <f>(D$4&gt;=4)*假设!$B$8*假设!$B$16/12</f>
        <v>0.0</v>
      </c>
      <c r="E19" s="15">
        <f>(E$4&gt;=4)*假设!$B$8*假设!$B$16/12</f>
        <v>0.0</v>
      </c>
      <c r="F19" s="15">
        <f>(F$4&gt;=4)*假设!$B$8*假设!$B$16/12</f>
        <v>3.3333333333333335</v>
      </c>
      <c r="G19" s="15">
        <f>(G$4&gt;=4)*假设!$B$8*假设!$B$16/12</f>
        <v>3.3333333333333335</v>
      </c>
      <c r="H19" s="15">
        <f>(H$4&gt;=4)*假设!$B$8*假设!$B$16/12</f>
        <v>3.3333333333333335</v>
      </c>
      <c r="I19" s="15">
        <f>(I$4&gt;=4)*假设!$B$8*假设!$B$16/12</f>
        <v>3.3333333333333335</v>
      </c>
      <c r="J19" s="15">
        <f>(J$4&gt;=4)*假设!$B$8*假设!$B$16/12</f>
        <v>3.3333333333333335</v>
      </c>
      <c r="K19" s="15">
        <f>(K$4&gt;=4)*假设!$B$8*假设!$B$16/12</f>
        <v>3.3333333333333335</v>
      </c>
      <c r="L19" s="15">
        <f>(L$4&gt;=4)*假设!$B$8*假设!$B$16/12</f>
        <v>3.3333333333333335</v>
      </c>
      <c r="M19" s="15">
        <f>(M$4&gt;=4)*假设!$B$8*假设!$B$16/12</f>
        <v>3.3333333333333335</v>
      </c>
      <c r="N19" s="15">
        <f>(N$4&gt;=4)*假设!$B$8*假设!$B$16/12</f>
        <v>3.3333333333333335</v>
      </c>
      <c r="O19" s="15">
        <f>SUM(C19:N19)</f>
        <v>29.999999999999996</v>
      </c>
    </row>
    <row r="20">
      <c r="A20" s="18" t="n"/>
      <c r="B20" s="19" t="inlineStr">
        <is>
          <t>实验与样本 小计</t>
        </is>
      </c>
      <c r="C20" s="20">
        <f>SUM(C12:C19)</f>
        <v>556.75</v>
      </c>
      <c r="D20" s="20">
        <f>SUM(D12:D19)</f>
        <v>254.75</v>
      </c>
      <c r="E20" s="20">
        <f>SUM(E12:E19)</f>
        <v>199.39</v>
      </c>
      <c r="F20" s="20">
        <f>SUM(F12:F19)</f>
        <v>55.04333333333333</v>
      </c>
      <c r="G20" s="20">
        <f>SUM(G12:G19)</f>
        <v>67.36333333333333</v>
      </c>
      <c r="H20" s="20">
        <f>SUM(H12:H19)</f>
        <v>79.68333333333334</v>
      </c>
      <c r="I20" s="20">
        <f>SUM(I12:I19)</f>
        <v>116.64333333333332</v>
      </c>
      <c r="J20" s="20">
        <f>SUM(J12:J19)</f>
        <v>139.14333333333332</v>
      </c>
      <c r="K20" s="20">
        <f>SUM(K12:K19)</f>
        <v>151.4633333333333</v>
      </c>
      <c r="L20" s="20">
        <f>SUM(L12:L19)</f>
        <v>151.4633333333333</v>
      </c>
      <c r="M20" s="20">
        <f>SUM(M12:M19)</f>
        <v>151.4633333333333</v>
      </c>
      <c r="N20" s="20">
        <f>SUM(N12:N19)</f>
        <v>128.9633333333333</v>
      </c>
      <c r="O20" s="20">
        <f>SUM(O12:O19)</f>
        <v>2052.12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数据与算力</t>
        </is>
      </c>
      <c r="B22" s="2" t="inlineStr">
        <is>
          <t>云 GPU 算力</t>
        </is>
      </c>
      <c r="C22" s="15">
        <f>IF(C$4&lt;假设!$B$30,0,IF(C$4&lt;假设!$B$31,0.5,1))*假设!$B$32</f>
        <v>0.0</v>
      </c>
      <c r="D22" s="15">
        <f>IF(D$4&lt;假设!$B$30,0,IF(D$4&lt;假设!$B$31,0.5,1))*假设!$B$32</f>
        <v>7.5</v>
      </c>
      <c r="E22" s="15">
        <f>IF(E$4&lt;假设!$B$30,0,IF(E$4&lt;假设!$B$31,0.5,1))*假设!$B$32</f>
        <v>7.5</v>
      </c>
      <c r="F22" s="15">
        <f>IF(F$4&lt;假设!$B$30,0,IF(F$4&lt;假设!$B$31,0.5,1))*假设!$B$32</f>
        <v>7.5</v>
      </c>
      <c r="G22" s="15">
        <f>IF(G$4&lt;假设!$B$30,0,IF(G$4&lt;假设!$B$31,0.5,1))*假设!$B$32</f>
        <v>15.0</v>
      </c>
      <c r="H22" s="15">
        <f>IF(H$4&lt;假设!$B$30,0,IF(H$4&lt;假设!$B$31,0.5,1))*假设!$B$32</f>
        <v>15.0</v>
      </c>
      <c r="I22" s="15">
        <f>IF(I$4&lt;假设!$B$30,0,IF(I$4&lt;假设!$B$31,0.5,1))*假设!$B$32</f>
        <v>15.0</v>
      </c>
      <c r="J22" s="15">
        <f>IF(J$4&lt;假设!$B$30,0,IF(J$4&lt;假设!$B$31,0.5,1))*假设!$B$32</f>
        <v>15.0</v>
      </c>
      <c r="K22" s="15">
        <f>IF(K$4&lt;假设!$B$30,0,IF(K$4&lt;假设!$B$31,0.5,1))*假设!$B$32</f>
        <v>15.0</v>
      </c>
      <c r="L22" s="15">
        <f>IF(L$4&lt;假设!$B$30,0,IF(L$4&lt;假设!$B$31,0.5,1))*假设!$B$32</f>
        <v>15.0</v>
      </c>
      <c r="M22" s="15">
        <f>IF(M$4&lt;假设!$B$30,0,IF(M$4&lt;假设!$B$31,0.5,1))*假设!$B$32</f>
        <v>15.0</v>
      </c>
      <c r="N22" s="15">
        <f>IF(N$4&lt;假设!$B$30,0,IF(N$4&lt;假设!$B$31,0.5,1))*假设!$B$32</f>
        <v>15.0</v>
      </c>
      <c r="O22" s="15">
        <f>SUM(C22:N22)</f>
        <v>142.5</v>
      </c>
    </row>
    <row r="23">
      <c r="A23" s="2" t="inlineStr"/>
      <c r="B23" s="2" t="inlineStr">
        <is>
          <t>数据平台搭建</t>
        </is>
      </c>
      <c r="C23" s="15">
        <f>(C$4=2)*假设!$B$33</f>
        <v>0.0</v>
      </c>
      <c r="D23" s="15">
        <f>(D$4=2)*假设!$B$33</f>
        <v>60.0</v>
      </c>
      <c r="E23" s="15">
        <f>(E$4=2)*假设!$B$33</f>
        <v>0.0</v>
      </c>
      <c r="F23" s="15">
        <f>(F$4=2)*假设!$B$33</f>
        <v>0.0</v>
      </c>
      <c r="G23" s="15">
        <f>(G$4=2)*假设!$B$33</f>
        <v>0.0</v>
      </c>
      <c r="H23" s="15">
        <f>(H$4=2)*假设!$B$33</f>
        <v>0.0</v>
      </c>
      <c r="I23" s="15">
        <f>(I$4=2)*假设!$B$33</f>
        <v>0.0</v>
      </c>
      <c r="J23" s="15">
        <f>(J$4=2)*假设!$B$33</f>
        <v>0.0</v>
      </c>
      <c r="K23" s="15">
        <f>(K$4=2)*假设!$B$33</f>
        <v>0.0</v>
      </c>
      <c r="L23" s="15">
        <f>(L$4=2)*假设!$B$33</f>
        <v>0.0</v>
      </c>
      <c r="M23" s="15">
        <f>(M$4=2)*假设!$B$33</f>
        <v>0.0</v>
      </c>
      <c r="N23" s="15">
        <f>(N$4=2)*假设!$B$33</f>
        <v>0.0</v>
      </c>
      <c r="O23" s="15">
        <f>SUM(C23:N23)</f>
        <v>60.0</v>
      </c>
    </row>
    <row r="24">
      <c r="A24" s="2" t="inlineStr"/>
      <c r="B24" s="2" t="inlineStr">
        <is>
          <t>数据平台运维</t>
        </is>
      </c>
      <c r="C24" s="15">
        <f>(C$4&gt;=3)*假设!$B$34</f>
        <v>0.0</v>
      </c>
      <c r="D24" s="15">
        <f>(D$4&gt;=3)*假设!$B$34</f>
        <v>0.0</v>
      </c>
      <c r="E24" s="15">
        <f>(E$4&gt;=3)*假设!$B$34</f>
        <v>3.0</v>
      </c>
      <c r="F24" s="15">
        <f>(F$4&gt;=3)*假设!$B$34</f>
        <v>3.0</v>
      </c>
      <c r="G24" s="15">
        <f>(G$4&gt;=3)*假设!$B$34</f>
        <v>3.0</v>
      </c>
      <c r="H24" s="15">
        <f>(H$4&gt;=3)*假设!$B$34</f>
        <v>3.0</v>
      </c>
      <c r="I24" s="15">
        <f>(I$4&gt;=3)*假设!$B$34</f>
        <v>3.0</v>
      </c>
      <c r="J24" s="15">
        <f>(J$4&gt;=3)*假设!$B$34</f>
        <v>3.0</v>
      </c>
      <c r="K24" s="15">
        <f>(K$4&gt;=3)*假设!$B$34</f>
        <v>3.0</v>
      </c>
      <c r="L24" s="15">
        <f>(L$4&gt;=3)*假设!$B$34</f>
        <v>3.0</v>
      </c>
      <c r="M24" s="15">
        <f>(M$4&gt;=3)*假设!$B$34</f>
        <v>3.0</v>
      </c>
      <c r="N24" s="15">
        <f>(N$4&gt;=3)*假设!$B$34</f>
        <v>3.0</v>
      </c>
      <c r="O24" s="15">
        <f>SUM(C24:N24)</f>
        <v>30.0</v>
      </c>
    </row>
    <row r="25">
      <c r="A25" s="2" t="inlineStr"/>
      <c r="B25" s="2" t="inlineStr">
        <is>
          <t>软件许可</t>
        </is>
      </c>
      <c r="C25" s="15">
        <f>假设!$B$35/12</f>
        <v>3.3333333333333335</v>
      </c>
      <c r="D25" s="15">
        <f>假设!$B$35/12</f>
        <v>3.3333333333333335</v>
      </c>
      <c r="E25" s="15">
        <f>假设!$B$35/12</f>
        <v>3.3333333333333335</v>
      </c>
      <c r="F25" s="15">
        <f>假设!$B$35/12</f>
        <v>3.3333333333333335</v>
      </c>
      <c r="G25" s="15">
        <f>假设!$B$35/12</f>
        <v>3.3333333333333335</v>
      </c>
      <c r="H25" s="15">
        <f>假设!$B$35/12</f>
        <v>3.3333333333333335</v>
      </c>
      <c r="I25" s="15">
        <f>假设!$B$35/12</f>
        <v>3.3333333333333335</v>
      </c>
      <c r="J25" s="15">
        <f>假设!$B$35/12</f>
        <v>3.3333333333333335</v>
      </c>
      <c r="K25" s="15">
        <f>假设!$B$35/12</f>
        <v>3.3333333333333335</v>
      </c>
      <c r="L25" s="15">
        <f>假设!$B$35/12</f>
        <v>3.3333333333333335</v>
      </c>
      <c r="M25" s="15">
        <f>假设!$B$35/12</f>
        <v>3.3333333333333335</v>
      </c>
      <c r="N25" s="15">
        <f>假设!$B$35/12</f>
        <v>3.3333333333333335</v>
      </c>
      <c r="O25" s="15">
        <f>SUM(C25:N25)</f>
        <v>40.00000000000001</v>
      </c>
    </row>
    <row r="26">
      <c r="A26" s="2" t="inlineStr"/>
      <c r="B26" s="2" t="inlineStr">
        <is>
          <t>外部数据 / 数据库授权</t>
        </is>
      </c>
      <c r="C26" s="15">
        <f>(C$4=4)*假设!$B$36</f>
        <v>0.0</v>
      </c>
      <c r="D26" s="15">
        <f>(D$4=4)*假设!$B$36</f>
        <v>0.0</v>
      </c>
      <c r="E26" s="15">
        <f>(E$4=4)*假设!$B$36</f>
        <v>0.0</v>
      </c>
      <c r="F26" s="15">
        <f>(F$4=4)*假设!$B$36</f>
        <v>30.0</v>
      </c>
      <c r="G26" s="15">
        <f>(G$4=4)*假设!$B$36</f>
        <v>0.0</v>
      </c>
      <c r="H26" s="15">
        <f>(H$4=4)*假设!$B$36</f>
        <v>0.0</v>
      </c>
      <c r="I26" s="15">
        <f>(I$4=4)*假设!$B$36</f>
        <v>0.0</v>
      </c>
      <c r="J26" s="15">
        <f>(J$4=4)*假设!$B$36</f>
        <v>0.0</v>
      </c>
      <c r="K26" s="15">
        <f>(K$4=4)*假设!$B$36</f>
        <v>0.0</v>
      </c>
      <c r="L26" s="15">
        <f>(L$4=4)*假设!$B$36</f>
        <v>0.0</v>
      </c>
      <c r="M26" s="15">
        <f>(M$4=4)*假设!$B$36</f>
        <v>0.0</v>
      </c>
      <c r="N26" s="15">
        <f>(N$4=4)*假设!$B$36</f>
        <v>0.0</v>
      </c>
      <c r="O26" s="15">
        <f>SUM(C26:N26)</f>
        <v>30.0</v>
      </c>
    </row>
    <row r="27">
      <c r="A27" s="18" t="n"/>
      <c r="B27" s="19" t="inlineStr">
        <is>
          <t>数据与算力 小计</t>
        </is>
      </c>
      <c r="C27" s="20">
        <f>SUM(C22:C26)</f>
        <v>3.3333333333333335</v>
      </c>
      <c r="D27" s="20">
        <f>SUM(D22:D26)</f>
        <v>70.83333333333333</v>
      </c>
      <c r="E27" s="20">
        <f>SUM(E22:E26)</f>
        <v>13.833333333333334</v>
      </c>
      <c r="F27" s="20">
        <f>SUM(F22:F26)</f>
        <v>43.833333333333336</v>
      </c>
      <c r="G27" s="20">
        <f>SUM(G22:G26)</f>
        <v>21.333333333333332</v>
      </c>
      <c r="H27" s="20">
        <f>SUM(H22:H26)</f>
        <v>21.333333333333332</v>
      </c>
      <c r="I27" s="20">
        <f>SUM(I22:I26)</f>
        <v>21.333333333333332</v>
      </c>
      <c r="J27" s="20">
        <f>SUM(J22:J26)</f>
        <v>21.333333333333332</v>
      </c>
      <c r="K27" s="20">
        <f>SUM(K22:K26)</f>
        <v>21.333333333333332</v>
      </c>
      <c r="L27" s="20">
        <f>SUM(L22:L26)</f>
        <v>21.333333333333332</v>
      </c>
      <c r="M27" s="20">
        <f>SUM(M22:M26)</f>
        <v>21.333333333333332</v>
      </c>
      <c r="N27" s="20">
        <f>SUM(N22:N26)</f>
        <v>21.333333333333332</v>
      </c>
      <c r="O27" s="20">
        <f>SUM(O22:O26)</f>
        <v>302.5</v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临床合作、合规与IP</t>
        </is>
      </c>
      <c r="B29" s="2" t="inlineStr">
        <is>
          <t>合作医院项目费</t>
        </is>
      </c>
      <c r="C29" s="15">
        <f>(C$4&gt;=2)*假设!$B$38*假设!$B$39/12</f>
        <v>0.0</v>
      </c>
      <c r="D29" s="15">
        <f>(D$4&gt;=2)*假设!$B$38*假设!$B$39/12</f>
        <v>13.333333333333334</v>
      </c>
      <c r="E29" s="15">
        <f>(E$4&gt;=2)*假设!$B$38*假设!$B$39/12</f>
        <v>13.333333333333334</v>
      </c>
      <c r="F29" s="15">
        <f>(F$4&gt;=2)*假设!$B$38*假设!$B$39/12</f>
        <v>13.333333333333334</v>
      </c>
      <c r="G29" s="15">
        <f>(G$4&gt;=2)*假设!$B$38*假设!$B$39/12</f>
        <v>13.333333333333334</v>
      </c>
      <c r="H29" s="15">
        <f>(H$4&gt;=2)*假设!$B$38*假设!$B$39/12</f>
        <v>13.333333333333334</v>
      </c>
      <c r="I29" s="15">
        <f>(I$4&gt;=2)*假设!$B$38*假设!$B$39/12</f>
        <v>13.333333333333334</v>
      </c>
      <c r="J29" s="15">
        <f>(J$4&gt;=2)*假设!$B$38*假设!$B$39/12</f>
        <v>13.333333333333334</v>
      </c>
      <c r="K29" s="15">
        <f>(K$4&gt;=2)*假设!$B$38*假设!$B$39/12</f>
        <v>13.333333333333334</v>
      </c>
      <c r="L29" s="15">
        <f>(L$4&gt;=2)*假设!$B$38*假设!$B$39/12</f>
        <v>13.333333333333334</v>
      </c>
      <c r="M29" s="15">
        <f>(M$4&gt;=2)*假设!$B$38*假设!$B$39/12</f>
        <v>13.333333333333334</v>
      </c>
      <c r="N29" s="15">
        <f>(N$4&gt;=2)*假设!$B$38*假设!$B$39/12</f>
        <v>13.333333333333334</v>
      </c>
      <c r="O29" s="15">
        <f>SUM(C29:N29)</f>
        <v>146.66666666666669</v>
      </c>
    </row>
    <row r="30">
      <c r="A30" s="2" t="inlineStr"/>
      <c r="B30" s="2" t="inlineStr">
        <is>
          <t>人类遗传资源 / 伦理合规</t>
        </is>
      </c>
      <c r="C30" s="15">
        <f>(C$4&lt;=3)*假设!$B$40/3</f>
        <v>13.333333333333334</v>
      </c>
      <c r="D30" s="15">
        <f>(D$4&lt;=3)*假设!$B$40/3</f>
        <v>13.333333333333334</v>
      </c>
      <c r="E30" s="15">
        <f>(E$4&lt;=3)*假设!$B$40/3</f>
        <v>13.333333333333334</v>
      </c>
      <c r="F30" s="15">
        <f>(F$4&lt;=3)*假设!$B$40/3</f>
        <v>0.0</v>
      </c>
      <c r="G30" s="15">
        <f>(G$4&lt;=3)*假设!$B$40/3</f>
        <v>0.0</v>
      </c>
      <c r="H30" s="15">
        <f>(H$4&lt;=3)*假设!$B$40/3</f>
        <v>0.0</v>
      </c>
      <c r="I30" s="15">
        <f>(I$4&lt;=3)*假设!$B$40/3</f>
        <v>0.0</v>
      </c>
      <c r="J30" s="15">
        <f>(J$4&lt;=3)*假设!$B$40/3</f>
        <v>0.0</v>
      </c>
      <c r="K30" s="15">
        <f>(K$4&lt;=3)*假设!$B$40/3</f>
        <v>0.0</v>
      </c>
      <c r="L30" s="15">
        <f>(L$4&lt;=3)*假设!$B$40/3</f>
        <v>0.0</v>
      </c>
      <c r="M30" s="15">
        <f>(M$4&lt;=3)*假设!$B$40/3</f>
        <v>0.0</v>
      </c>
      <c r="N30" s="15">
        <f>(N$4&lt;=3)*假设!$B$40/3</f>
        <v>0.0</v>
      </c>
      <c r="O30" s="15">
        <f>SUM(C30:N30)</f>
        <v>40.0</v>
      </c>
    </row>
    <row r="31">
      <c r="A31" s="2" t="inlineStr"/>
      <c r="B31" s="2" t="inlineStr">
        <is>
          <t>数据安全与出境合规</t>
        </is>
      </c>
      <c r="C31" s="15">
        <f>(C$4=4)*假设!$B$41</f>
        <v>0.0</v>
      </c>
      <c r="D31" s="15">
        <f>(D$4=4)*假设!$B$41</f>
        <v>0.0</v>
      </c>
      <c r="E31" s="15">
        <f>(E$4=4)*假设!$B$41</f>
        <v>0.0</v>
      </c>
      <c r="F31" s="15">
        <f>(F$4=4)*假设!$B$41</f>
        <v>30.0</v>
      </c>
      <c r="G31" s="15">
        <f>(G$4=4)*假设!$B$41</f>
        <v>0.0</v>
      </c>
      <c r="H31" s="15">
        <f>(H$4=4)*假设!$B$41</f>
        <v>0.0</v>
      </c>
      <c r="I31" s="15">
        <f>(I$4=4)*假设!$B$41</f>
        <v>0.0</v>
      </c>
      <c r="J31" s="15">
        <f>(J$4=4)*假设!$B$41</f>
        <v>0.0</v>
      </c>
      <c r="K31" s="15">
        <f>(K$4=4)*假设!$B$41</f>
        <v>0.0</v>
      </c>
      <c r="L31" s="15">
        <f>(L$4=4)*假设!$B$41</f>
        <v>0.0</v>
      </c>
      <c r="M31" s="15">
        <f>(M$4=4)*假设!$B$41</f>
        <v>0.0</v>
      </c>
      <c r="N31" s="15">
        <f>(N$4=4)*假设!$B$41</f>
        <v>0.0</v>
      </c>
      <c r="O31" s="15">
        <f>SUM(C31:N31)</f>
        <v>30.0</v>
      </c>
    </row>
    <row r="32">
      <c r="A32" s="2" t="inlineStr"/>
      <c r="B32" s="2" t="inlineStr">
        <is>
          <t>专利申请</t>
        </is>
      </c>
      <c r="C32" s="15">
        <f>假设!$B$42*假设!$B$43/12</f>
        <v>4.0</v>
      </c>
      <c r="D32" s="15">
        <f>假设!$B$42*假设!$B$43/12</f>
        <v>4.0</v>
      </c>
      <c r="E32" s="15">
        <f>假设!$B$42*假设!$B$43/12</f>
        <v>4.0</v>
      </c>
      <c r="F32" s="15">
        <f>假设!$B$42*假设!$B$43/12</f>
        <v>4.0</v>
      </c>
      <c r="G32" s="15">
        <f>假设!$B$42*假设!$B$43/12</f>
        <v>4.0</v>
      </c>
      <c r="H32" s="15">
        <f>假设!$B$42*假设!$B$43/12</f>
        <v>4.0</v>
      </c>
      <c r="I32" s="15">
        <f>假设!$B$42*假设!$B$43/12</f>
        <v>4.0</v>
      </c>
      <c r="J32" s="15">
        <f>假设!$B$42*假设!$B$43/12</f>
        <v>4.0</v>
      </c>
      <c r="K32" s="15">
        <f>假设!$B$42*假设!$B$43/12</f>
        <v>4.0</v>
      </c>
      <c r="L32" s="15">
        <f>假设!$B$42*假设!$B$43/12</f>
        <v>4.0</v>
      </c>
      <c r="M32" s="15">
        <f>假设!$B$42*假设!$B$43/12</f>
        <v>4.0</v>
      </c>
      <c r="N32" s="15">
        <f>假设!$B$42*假设!$B$43/12</f>
        <v>4.0</v>
      </c>
      <c r="O32" s="15">
        <f>SUM(C32:N32)</f>
        <v>48.0</v>
      </c>
    </row>
    <row r="33">
      <c r="A33" s="2" t="inlineStr"/>
      <c r="B33" s="2" t="inlineStr">
        <is>
          <t>法律、审计、财务</t>
        </is>
      </c>
      <c r="C33" s="15">
        <f>假设!$B$44/12</f>
        <v>3.3333333333333335</v>
      </c>
      <c r="D33" s="15">
        <f>假设!$B$44/12</f>
        <v>3.3333333333333335</v>
      </c>
      <c r="E33" s="15">
        <f>假设!$B$44/12</f>
        <v>3.3333333333333335</v>
      </c>
      <c r="F33" s="15">
        <f>假设!$B$44/12</f>
        <v>3.3333333333333335</v>
      </c>
      <c r="G33" s="15">
        <f>假设!$B$44/12</f>
        <v>3.3333333333333335</v>
      </c>
      <c r="H33" s="15">
        <f>假设!$B$44/12</f>
        <v>3.3333333333333335</v>
      </c>
      <c r="I33" s="15">
        <f>假设!$B$44/12</f>
        <v>3.3333333333333335</v>
      </c>
      <c r="J33" s="15">
        <f>假设!$B$44/12</f>
        <v>3.3333333333333335</v>
      </c>
      <c r="K33" s="15">
        <f>假设!$B$44/12</f>
        <v>3.3333333333333335</v>
      </c>
      <c r="L33" s="15">
        <f>假设!$B$44/12</f>
        <v>3.3333333333333335</v>
      </c>
      <c r="M33" s="15">
        <f>假设!$B$44/12</f>
        <v>3.3333333333333335</v>
      </c>
      <c r="N33" s="15">
        <f>假设!$B$44/12</f>
        <v>3.3333333333333335</v>
      </c>
      <c r="O33" s="15">
        <f>SUM(C33:N33)</f>
        <v>40.00000000000001</v>
      </c>
    </row>
    <row r="34">
      <c r="A34" s="18" t="n"/>
      <c r="B34" s="19" t="inlineStr">
        <is>
          <t>临床合作、合规与IP 小计</t>
        </is>
      </c>
      <c r="C34" s="20">
        <f>SUM(C29:C33)</f>
        <v>20.666666666666668</v>
      </c>
      <c r="D34" s="20">
        <f>SUM(D29:D33)</f>
        <v>34.0</v>
      </c>
      <c r="E34" s="20">
        <f>SUM(E29:E33)</f>
        <v>34.0</v>
      </c>
      <c r="F34" s="20">
        <f>SUM(F29:F33)</f>
        <v>50.66666666666667</v>
      </c>
      <c r="G34" s="20">
        <f>SUM(G29:G33)</f>
        <v>20.666666666666668</v>
      </c>
      <c r="H34" s="20">
        <f>SUM(H29:H33)</f>
        <v>20.666666666666668</v>
      </c>
      <c r="I34" s="20">
        <f>SUM(I29:I33)</f>
        <v>20.666666666666668</v>
      </c>
      <c r="J34" s="20">
        <f>SUM(J29:J33)</f>
        <v>20.666666666666668</v>
      </c>
      <c r="K34" s="20">
        <f>SUM(K29:K33)</f>
        <v>20.666666666666668</v>
      </c>
      <c r="L34" s="20">
        <f>SUM(L29:L33)</f>
        <v>20.666666666666668</v>
      </c>
      <c r="M34" s="20">
        <f>SUM(M29:M33)</f>
        <v>20.666666666666668</v>
      </c>
      <c r="N34" s="20">
        <f>SUM(N29:N33)</f>
        <v>20.666666666666668</v>
      </c>
      <c r="O34" s="20">
        <f>SUM(O29:O33)</f>
        <v>304.6666666666667</v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商务与运营</t>
        </is>
      </c>
      <c r="B36" s="2" t="inlineStr">
        <is>
          <t>办公租金</t>
        </is>
      </c>
      <c r="C36" s="15">
        <f>假设!$B$46*假设!$B$47*30/10000</f>
        <v>3.6</v>
      </c>
      <c r="D36" s="15">
        <f>假设!$B$46*假设!$B$47*30/10000</f>
        <v>3.6</v>
      </c>
      <c r="E36" s="15">
        <f>假设!$B$46*假设!$B$47*30/10000</f>
        <v>3.6</v>
      </c>
      <c r="F36" s="15">
        <f>假设!$B$46*假设!$B$47*30/10000</f>
        <v>3.6</v>
      </c>
      <c r="G36" s="15">
        <f>假设!$B$46*假设!$B$47*30/10000</f>
        <v>3.6</v>
      </c>
      <c r="H36" s="15">
        <f>假设!$B$46*假设!$B$47*30/10000</f>
        <v>3.6</v>
      </c>
      <c r="I36" s="15">
        <f>假设!$B$46*假设!$B$47*30/10000</f>
        <v>3.6</v>
      </c>
      <c r="J36" s="15">
        <f>假设!$B$46*假设!$B$47*30/10000</f>
        <v>3.6</v>
      </c>
      <c r="K36" s="15">
        <f>假设!$B$46*假设!$B$47*30/10000</f>
        <v>3.6</v>
      </c>
      <c r="L36" s="15">
        <f>假设!$B$46*假设!$B$47*30/10000</f>
        <v>3.6</v>
      </c>
      <c r="M36" s="15">
        <f>假设!$B$46*假设!$B$47*30/10000</f>
        <v>3.6</v>
      </c>
      <c r="N36" s="15">
        <f>假设!$B$46*假设!$B$47*30/10000</f>
        <v>3.6</v>
      </c>
      <c r="O36" s="15">
        <f>SUM(C36:N36)</f>
        <v>43.2</v>
      </c>
    </row>
    <row r="37">
      <c r="A37" s="2" t="inlineStr"/>
      <c r="B37" s="2" t="inlineStr">
        <is>
          <t>差旅</t>
        </is>
      </c>
      <c r="C37" s="15">
        <f>假设!$B$48</f>
        <v>4.0</v>
      </c>
      <c r="D37" s="15">
        <f>假设!$B$48</f>
        <v>4.0</v>
      </c>
      <c r="E37" s="15">
        <f>假设!$B$48</f>
        <v>4.0</v>
      </c>
      <c r="F37" s="15">
        <f>假设!$B$48</f>
        <v>4.0</v>
      </c>
      <c r="G37" s="15">
        <f>假设!$B$48</f>
        <v>4.0</v>
      </c>
      <c r="H37" s="15">
        <f>假设!$B$48</f>
        <v>4.0</v>
      </c>
      <c r="I37" s="15">
        <f>假设!$B$48</f>
        <v>4.0</v>
      </c>
      <c r="J37" s="15">
        <f>假设!$B$48</f>
        <v>4.0</v>
      </c>
      <c r="K37" s="15">
        <f>假设!$B$48</f>
        <v>4.0</v>
      </c>
      <c r="L37" s="15">
        <f>假设!$B$48</f>
        <v>4.0</v>
      </c>
      <c r="M37" s="15">
        <f>假设!$B$48</f>
        <v>4.0</v>
      </c>
      <c r="N37" s="15">
        <f>假设!$B$48</f>
        <v>4.0</v>
      </c>
      <c r="O37" s="15">
        <f>SUM(C37:N37)</f>
        <v>48.0</v>
      </c>
    </row>
    <row r="38">
      <c r="A38" s="2" t="inlineStr"/>
      <c r="B38" s="2" t="inlineStr">
        <is>
          <t>学术会议与市场</t>
        </is>
      </c>
      <c r="C38" s="15">
        <f>假设!$B$49/12</f>
        <v>3.3333333333333335</v>
      </c>
      <c r="D38" s="15">
        <f>假设!$B$49/12</f>
        <v>3.3333333333333335</v>
      </c>
      <c r="E38" s="15">
        <f>假设!$B$49/12</f>
        <v>3.3333333333333335</v>
      </c>
      <c r="F38" s="15">
        <f>假设!$B$49/12</f>
        <v>3.3333333333333335</v>
      </c>
      <c r="G38" s="15">
        <f>假设!$B$49/12</f>
        <v>3.3333333333333335</v>
      </c>
      <c r="H38" s="15">
        <f>假设!$B$49/12</f>
        <v>3.3333333333333335</v>
      </c>
      <c r="I38" s="15">
        <f>假设!$B$49/12</f>
        <v>3.3333333333333335</v>
      </c>
      <c r="J38" s="15">
        <f>假设!$B$49/12</f>
        <v>3.3333333333333335</v>
      </c>
      <c r="K38" s="15">
        <f>假设!$B$49/12</f>
        <v>3.3333333333333335</v>
      </c>
      <c r="L38" s="15">
        <f>假设!$B$49/12</f>
        <v>3.3333333333333335</v>
      </c>
      <c r="M38" s="15">
        <f>假设!$B$49/12</f>
        <v>3.3333333333333335</v>
      </c>
      <c r="N38" s="15">
        <f>假设!$B$49/12</f>
        <v>3.3333333333333335</v>
      </c>
      <c r="O38" s="15">
        <f>SUM(C38:N38)</f>
        <v>40.00000000000001</v>
      </c>
    </row>
    <row r="39">
      <c r="A39" s="2" t="inlineStr"/>
      <c r="B39" s="2" t="inlineStr">
        <is>
          <t>BD 试点项目投入</t>
        </is>
      </c>
      <c r="C39" s="15">
        <f>(C$4&gt;=7)*假设!$B$50/6</f>
        <v>0.0</v>
      </c>
      <c r="D39" s="15">
        <f>(D$4&gt;=7)*假设!$B$50/6</f>
        <v>0.0</v>
      </c>
      <c r="E39" s="15">
        <f>(E$4&gt;=7)*假设!$B$50/6</f>
        <v>0.0</v>
      </c>
      <c r="F39" s="15">
        <f>(F$4&gt;=7)*假设!$B$50/6</f>
        <v>0.0</v>
      </c>
      <c r="G39" s="15">
        <f>(G$4&gt;=7)*假设!$B$50/6</f>
        <v>0.0</v>
      </c>
      <c r="H39" s="15">
        <f>(H$4&gt;=7)*假设!$B$50/6</f>
        <v>0.0</v>
      </c>
      <c r="I39" s="15">
        <f>(I$4&gt;=7)*假设!$B$50/6</f>
        <v>16.666666666666668</v>
      </c>
      <c r="J39" s="15">
        <f>(J$4&gt;=7)*假设!$B$50/6</f>
        <v>16.666666666666668</v>
      </c>
      <c r="K39" s="15">
        <f>(K$4&gt;=7)*假设!$B$50/6</f>
        <v>16.666666666666668</v>
      </c>
      <c r="L39" s="15">
        <f>(L$4&gt;=7)*假设!$B$50/6</f>
        <v>16.666666666666668</v>
      </c>
      <c r="M39" s="15">
        <f>(M$4&gt;=7)*假设!$B$50/6</f>
        <v>16.666666666666668</v>
      </c>
      <c r="N39" s="15">
        <f>(N$4&gt;=7)*假设!$B$50/6</f>
        <v>16.666666666666668</v>
      </c>
      <c r="O39" s="15">
        <f>SUM(C39:N39)</f>
        <v>100.00000000000001</v>
      </c>
    </row>
    <row r="40">
      <c r="A40" s="2" t="inlineStr"/>
      <c r="B40" s="2" t="inlineStr">
        <is>
          <t>行政、IT、保险杂费</t>
        </is>
      </c>
      <c r="C40" s="15">
        <f>假设!$B$51</f>
        <v>2.0</v>
      </c>
      <c r="D40" s="15">
        <f>假设!$B$51</f>
        <v>2.0</v>
      </c>
      <c r="E40" s="15">
        <f>假设!$B$51</f>
        <v>2.0</v>
      </c>
      <c r="F40" s="15">
        <f>假设!$B$51</f>
        <v>2.0</v>
      </c>
      <c r="G40" s="15">
        <f>假设!$B$51</f>
        <v>2.0</v>
      </c>
      <c r="H40" s="15">
        <f>假设!$B$51</f>
        <v>2.0</v>
      </c>
      <c r="I40" s="15">
        <f>假设!$B$51</f>
        <v>2.0</v>
      </c>
      <c r="J40" s="15">
        <f>假设!$B$51</f>
        <v>2.0</v>
      </c>
      <c r="K40" s="15">
        <f>假设!$B$51</f>
        <v>2.0</v>
      </c>
      <c r="L40" s="15">
        <f>假设!$B$51</f>
        <v>2.0</v>
      </c>
      <c r="M40" s="15">
        <f>假设!$B$51</f>
        <v>2.0</v>
      </c>
      <c r="N40" s="15">
        <f>假设!$B$51</f>
        <v>2.0</v>
      </c>
      <c r="O40" s="15">
        <f>SUM(C40:N40)</f>
        <v>24.0</v>
      </c>
    </row>
    <row r="41">
      <c r="A41" s="18" t="n"/>
      <c r="B41" s="19" t="inlineStr">
        <is>
          <t>商务与运营 小计</t>
        </is>
      </c>
      <c r="C41" s="20">
        <f>SUM(C36:C40)</f>
        <v>12.933333333333334</v>
      </c>
      <c r="D41" s="20">
        <f>SUM(D36:D40)</f>
        <v>12.933333333333334</v>
      </c>
      <c r="E41" s="20">
        <f>SUM(E36:E40)</f>
        <v>12.933333333333334</v>
      </c>
      <c r="F41" s="20">
        <f>SUM(F36:F40)</f>
        <v>12.933333333333334</v>
      </c>
      <c r="G41" s="20">
        <f>SUM(G36:G40)</f>
        <v>12.933333333333334</v>
      </c>
      <c r="H41" s="20">
        <f>SUM(H36:H40)</f>
        <v>12.933333333333334</v>
      </c>
      <c r="I41" s="20">
        <f>SUM(I36:I40)</f>
        <v>29.6</v>
      </c>
      <c r="J41" s="20">
        <f>SUM(J36:J40)</f>
        <v>29.6</v>
      </c>
      <c r="K41" s="20">
        <f>SUM(K36:K40)</f>
        <v>29.6</v>
      </c>
      <c r="L41" s="20">
        <f>SUM(L36:L40)</f>
        <v>29.6</v>
      </c>
      <c r="M41" s="20">
        <f>SUM(M36:M40)</f>
        <v>29.6</v>
      </c>
      <c r="N41" s="20">
        <f>SUM(N36:N40)</f>
        <v>29.6</v>
      </c>
      <c r="O41" s="20">
        <f>SUM(O36:O40)</f>
        <v>255.20000000000005</v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不可预见费</t>
        </is>
      </c>
      <c r="B43" s="2" t="inlineStr">
        <is>
          <t>Plan A 内部不可预见费</t>
        </is>
      </c>
      <c r="C43" s="15">
        <f>假设!$B$52*(C10+C20+C27+C34+C41)</f>
        <v>19.410999999999998</v>
      </c>
      <c r="D43" s="15">
        <f>假设!$B$52*(D10+D20+D27+D34+D41)</f>
        <v>12.705999999999998</v>
      </c>
      <c r="E43" s="15">
        <f>假设!$B$52*(E10+E20+E27+E34+E41)</f>
        <v>9.6122</v>
      </c>
      <c r="F43" s="15">
        <f>假设!$B$52*(F10+F20+F27+F34+F41)</f>
        <v>7.2598</v>
      </c>
      <c r="G43" s="15">
        <f>假设!$B$52*(G10+G20+G27+G34+G41)</f>
        <v>5.8289</v>
      </c>
      <c r="H43" s="15">
        <f>假设!$B$52*(H10+H20+H27+H34+H41)</f>
        <v>6.335999999999999</v>
      </c>
      <c r="I43" s="15">
        <f>假设!$B$52*(I10+I20+I27+I34+I41)</f>
        <v>8.2253</v>
      </c>
      <c r="J43" s="15">
        <f>假设!$B$52*(J10+J20+J27+J34+J41)</f>
        <v>8.6573</v>
      </c>
      <c r="K43" s="15">
        <f>假设!$B$52*(K10+K20+K27+K34+K41)</f>
        <v>9.527399999999998</v>
      </c>
      <c r="L43" s="15">
        <f>假设!$B$52*(L10+L20+L27+L34+L41)</f>
        <v>9.2544</v>
      </c>
      <c r="M43" s="15">
        <f>假设!$B$52*(M10+M20+M27+M34+M41)</f>
        <v>9.2544</v>
      </c>
      <c r="N43" s="15">
        <f>假设!$B$52*(N10+N20+N27+N34+N41)</f>
        <v>8.5794</v>
      </c>
      <c r="O43" s="15">
        <f>SUM(C43:N43)</f>
        <v>114.65209999999999</v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3" t="inlineStr">
        <is>
          <t>合计</t>
        </is>
      </c>
      <c r="B45" s="3" t="inlineStr">
        <is>
          <t>Plan A 当月支出</t>
        </is>
      </c>
      <c r="C45" s="21">
        <f>C10+C20+C27+C34+C41+C43</f>
        <v>666.4443333333332</v>
      </c>
      <c r="D45" s="21">
        <f>D10+D20+D27+D34+D41+D43</f>
        <v>436.2393333333333</v>
      </c>
      <c r="E45" s="21">
        <f>E10+E20+E27+E34+E41+E43</f>
        <v>330.0188666666666</v>
      </c>
      <c r="F45" s="21">
        <f>F10+F20+F27+F34+F41+F43</f>
        <v>249.25313333333335</v>
      </c>
      <c r="G45" s="21">
        <f>G10+G20+G27+G34+G41+G43</f>
        <v>200.12556666666669</v>
      </c>
      <c r="H45" s="21">
        <f>H10+H20+H27+H34+H41+H43</f>
        <v>217.536</v>
      </c>
      <c r="I45" s="21">
        <f>I10+I20+I27+I34+I41+I43</f>
        <v>282.4019666666667</v>
      </c>
      <c r="J45" s="21">
        <f>J10+J20+J27+J34+J41+J43</f>
        <v>297.2339666666667</v>
      </c>
      <c r="K45" s="21">
        <f>K10+K20+K27+K34+K41+K43</f>
        <v>327.1074</v>
      </c>
      <c r="L45" s="21">
        <f>L10+L20+L27+L34+L41+L43</f>
        <v>317.7344</v>
      </c>
      <c r="M45" s="21">
        <f>M10+M20+M27+M34+M41+M43</f>
        <v>317.7344</v>
      </c>
      <c r="N45" s="21">
        <f>N10+N20+N27+N34+N41+N43</f>
        <v>294.55940000000004</v>
      </c>
      <c r="O45" s="21">
        <f>O10+O20+O27+O34+O41+O43</f>
        <v>3936.3887666666665</v>
      </c>
    </row>
    <row r="46">
      <c r="A46" s="2" t="n"/>
      <c r="B46" s="3" t="inlineStr">
        <is>
          <t>Plan A 累计支出</t>
        </is>
      </c>
      <c r="C46" s="15">
        <f>SUM($C$45:C45)</f>
        <v>666.4443333333332</v>
      </c>
      <c r="D46" s="15">
        <f>SUM($C$45:D45)</f>
        <v>1102.6836666666666</v>
      </c>
      <c r="E46" s="15">
        <f>SUM($C$45:E45)</f>
        <v>1432.7025333333331</v>
      </c>
      <c r="F46" s="15">
        <f>SUM($C$45:F45)</f>
        <v>1681.9556666666665</v>
      </c>
      <c r="G46" s="15">
        <f>SUM($C$45:G45)</f>
        <v>1882.081233333333</v>
      </c>
      <c r="H46" s="15">
        <f>SUM($C$45:H45)</f>
        <v>2099.617233333333</v>
      </c>
      <c r="I46" s="15">
        <f>SUM($C$45:I45)</f>
        <v>2382.0191999999997</v>
      </c>
      <c r="J46" s="15">
        <f>SUM($C$45:J45)</f>
        <v>2679.2531666666664</v>
      </c>
      <c r="K46" s="15">
        <f>SUM($C$45:K45)</f>
        <v>3006.3605666666663</v>
      </c>
      <c r="L46" s="15">
        <f>SUM($C$45:L45)</f>
        <v>3324.094966666666</v>
      </c>
      <c r="M46" s="15">
        <f>SUM($C$45:M45)</f>
        <v>3641.829366666666</v>
      </c>
      <c r="N46" s="15">
        <f>SUM($C$45:N45)</f>
        <v>3936.388766666666</v>
      </c>
      <c r="O46" s="2" t="n"/>
    </row>
    <row r="47">
      <c r="A47" s="2" t="n"/>
      <c r="B47" s="3" t="inlineStr">
        <is>
          <t>账面现金余额（含准备金）</t>
        </is>
      </c>
      <c r="C47" s="15">
        <f>假设!$B$5-C46</f>
        <v>4333.555666666667</v>
      </c>
      <c r="D47" s="15">
        <f>假设!$B$5-D46</f>
        <v>3897.316333333333</v>
      </c>
      <c r="E47" s="15">
        <f>假设!$B$5-E46</f>
        <v>3567.297466666667</v>
      </c>
      <c r="F47" s="15">
        <f>假设!$B$5-F46</f>
        <v>3318.0443333333333</v>
      </c>
      <c r="G47" s="15">
        <f>假设!$B$5-G46</f>
        <v>3117.9187666666667</v>
      </c>
      <c r="H47" s="15">
        <f>假设!$B$5-H46</f>
        <v>2900.382766666667</v>
      </c>
      <c r="I47" s="15">
        <f>假设!$B$5-I46</f>
        <v>2617.9808000000003</v>
      </c>
      <c r="J47" s="15">
        <f>假设!$B$5-J46</f>
        <v>2320.7468333333336</v>
      </c>
      <c r="K47" s="15">
        <f>假设!$B$5-K46</f>
        <v>1993.6394333333337</v>
      </c>
      <c r="L47" s="15">
        <f>假设!$B$5-L46</f>
        <v>1675.905033333334</v>
      </c>
      <c r="M47" s="15">
        <f>假设!$B$5-M46</f>
        <v>1358.170633333334</v>
      </c>
      <c r="N47" s="15">
        <f>假设!$B$5-N46</f>
        <v>1063.611233333334</v>
      </c>
      <c r="O4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4" customWidth="1" min="4" max="4"/>
    <col width="70" customWidth="1" min="5" max="5"/>
  </cols>
  <sheetData>
    <row r="1">
      <c r="A1" s="1" t="inlineStr">
        <is>
          <t>预算汇总与准备金（万元）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项目</t>
        </is>
      </c>
      <c r="B3" s="4" t="inlineStr">
        <is>
          <t>金额（万元）</t>
        </is>
      </c>
      <c r="C3" s="4" t="inlineStr">
        <is>
          <t>占融资额</t>
        </is>
      </c>
      <c r="D3" s="4" t="inlineStr">
        <is>
          <t>占 Plan A 支出</t>
        </is>
      </c>
      <c r="E3" s="4" t="inlineStr">
        <is>
          <t>对应里程碑 / 用途</t>
        </is>
      </c>
    </row>
    <row r="4">
      <c r="A4" s="2" t="inlineStr">
        <is>
          <t>人员</t>
        </is>
      </c>
      <c r="B4" s="17">
        <f>月度预算!O10</f>
        <v>907.2499999999999</v>
      </c>
      <c r="C4" s="22">
        <f>B4/假设!$B$5</f>
        <v>0.18144999999999997</v>
      </c>
      <c r="D4" s="22">
        <f>B4/$B$10</f>
        <v>0.23047774337804014</v>
      </c>
      <c r="E4" s="2" t="inlineStr">
        <is>
          <t>团队按飞轮环节逐步扩充（人数见「人员」表）</t>
        </is>
      </c>
    </row>
    <row r="5">
      <c r="A5" s="2" t="inlineStr">
        <is>
          <t>实验与样本</t>
        </is>
      </c>
      <c r="B5" s="17">
        <f>月度预算!O20</f>
        <v>2052.12</v>
      </c>
      <c r="C5" s="22">
        <f>B5/假设!$B$5</f>
        <v>0.41042399999999996</v>
      </c>
      <c r="D5" s="22">
        <f>B5/$B$10</f>
        <v>0.5213204593452122</v>
      </c>
      <c r="E5" s="2" t="inlineStr">
        <is>
          <t>第 6 个月首批配对队列；第 12 个月回顾性验证 + 前瞻性评分启动</t>
        </is>
      </c>
    </row>
    <row r="6">
      <c r="A6" s="2" t="inlineStr">
        <is>
          <t>数据与算力</t>
        </is>
      </c>
      <c r="B6" s="17">
        <f>月度预算!O27</f>
        <v>302.5</v>
      </c>
      <c r="C6" s="22">
        <f>B6/假设!$B$5</f>
        <v>0.0605</v>
      </c>
      <c r="D6" s="22">
        <f>B6/$B$10</f>
        <v>0.07684708445506437</v>
      </c>
      <c r="E6" s="2" t="inlineStr">
        <is>
          <t>AIVC 模型训练与数据平台；第 12 个月具备 v1 模型训练条件</t>
        </is>
      </c>
    </row>
    <row r="7">
      <c r="A7" s="2" t="inlineStr">
        <is>
          <t>临床合作、合规与IP</t>
        </is>
      </c>
      <c r="B7" s="17">
        <f>月度预算!O34</f>
        <v>304.6666666666667</v>
      </c>
      <c r="C7" s="22">
        <f>B7/假设!$B$5</f>
        <v>0.06093333333333334</v>
      </c>
      <c r="D7" s="22">
        <f>B7/$B$10</f>
        <v>0.07739750434372324</v>
      </c>
      <c r="E7" s="2" t="inlineStr">
        <is>
          <t>合作中心、遗传资源与伦理合规、数据出境合规、专利布局</t>
        </is>
      </c>
    </row>
    <row r="8">
      <c r="A8" s="2" t="inlineStr">
        <is>
          <t>商务与运营</t>
        </is>
      </c>
      <c r="B8" s="17">
        <f>月度预算!O41</f>
        <v>255.20000000000005</v>
      </c>
      <c r="C8" s="22">
        <f>B8/假设!$B$5</f>
        <v>0.05104000000000001</v>
      </c>
      <c r="D8" s="22">
        <f>B8/$B$10</f>
        <v>0.06483099488572705</v>
      </c>
      <c r="E8" s="2" t="inlineStr">
        <is>
          <t>首个付费 / 联合开发项目的试点与商务拓展</t>
        </is>
      </c>
    </row>
    <row r="9">
      <c r="A9" s="2" t="inlineStr">
        <is>
          <t>不可预见费</t>
        </is>
      </c>
      <c r="B9" s="17">
        <f>月度预算!O43</f>
        <v>114.65209999999999</v>
      </c>
      <c r="C9" s="22">
        <f>B9/假设!$B$5</f>
        <v>0.022930419999999996</v>
      </c>
      <c r="D9" s="22">
        <f>B9/$B$10</f>
        <v>0.029126213592233007</v>
      </c>
      <c r="E9" s="2" t="inlineStr">
        <is>
          <t>Plan A 内部的小额超支缓冲（与准备金分开）</t>
        </is>
      </c>
    </row>
    <row r="10">
      <c r="A10" s="3" t="inlineStr">
        <is>
          <t>Plan A 12 个月支出合计</t>
        </is>
      </c>
      <c r="B10" s="21">
        <f>SUM(B4:B9)</f>
        <v>3936.3887666666665</v>
      </c>
      <c r="C10" s="22">
        <f>B10/假设!$B$5</f>
        <v>0.7872777533333333</v>
      </c>
      <c r="D10" s="22">
        <f>B10/B10</f>
        <v>1.0</v>
      </c>
      <c r="E10" s="2" t="n"/>
    </row>
    <row r="11">
      <c r="A11" s="3" t="inlineStr">
        <is>
          <t>Plan B 准备金（独立账户）</t>
        </is>
      </c>
      <c r="B11" s="23">
        <f>假设!$B$5-B10</f>
        <v>1063.6112333333335</v>
      </c>
      <c r="C11" s="22">
        <f>B11/假设!$B$5</f>
        <v>0.2127222466666667</v>
      </c>
      <c r="D11" s="2" t="n"/>
      <c r="E11" s="2" t="inlineStr">
        <is>
          <t>仅在触发条件出现、经董事会批准后动用（见 PlanB情景）</t>
        </is>
      </c>
    </row>
    <row r="12">
      <c r="A12" s="3" t="inlineStr">
        <is>
          <t>本轮融资额</t>
        </is>
      </c>
      <c r="B12" s="17">
        <f>假设!$B$5</f>
        <v>5000.0</v>
      </c>
      <c r="C12" s="22">
        <f>B12/假设!$B$5</f>
        <v>1.0</v>
      </c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3" t="inlineStr">
        <is>
          <t>检查：准备金是否达到目标比例</t>
        </is>
      </c>
      <c r="B14" s="2" t="str">
        <f>IF(C11&gt;=假设!$B$6,"达标","未达标：需压缩 Plan A")</f>
        <v>达标</v>
      </c>
      <c r="C14" s="22">
        <f>假设!$B$6</f>
        <v>0.2</v>
      </c>
      <c r="D14" s="2" t="inlineStr">
        <is>
          <t>目标比例</t>
        </is>
      </c>
      <c r="E14" s="2" t="n"/>
    </row>
    <row r="15">
      <c r="A15" s="2" t="n"/>
      <c r="B15" s="2" t="n"/>
      <c r="C15" s="2" t="n"/>
      <c r="D15" s="2" t="n"/>
      <c r="E15" s="2" t="n"/>
    </row>
    <row r="16">
      <c r="A16" s="3" t="inlineStr">
        <is>
          <t>关键指标</t>
        </is>
      </c>
      <c r="B16" s="2" t="n"/>
      <c r="C16" s="2" t="n"/>
      <c r="D16" s="2" t="n"/>
      <c r="E16" s="2" t="n"/>
    </row>
    <row r="17">
      <c r="A17" s="2" t="inlineStr">
        <is>
          <t>12 个月入组病例</t>
        </is>
      </c>
      <c r="B17" s="14">
        <f>月度预算!O5</f>
        <v>66.0</v>
      </c>
      <c r="C17" s="2" t="n"/>
      <c r="D17" s="2" t="n"/>
      <c r="E17" s="2" t="inlineStr"/>
    </row>
    <row r="18">
      <c r="A18" s="2" t="inlineStr">
        <is>
          <t>其中成功建模（配对病例）</t>
        </is>
      </c>
      <c r="B18" s="15">
        <f>月度预算!O6</f>
        <v>46.199999999999996</v>
      </c>
      <c r="C18" s="2" t="n"/>
      <c r="D18" s="2" t="n"/>
      <c r="E18" s="2" t="inlineStr"/>
    </row>
    <row r="19">
      <c r="A19" s="2" t="inlineStr">
        <is>
          <t>第 12 个月在岗人数</t>
        </is>
      </c>
      <c r="B19" s="14">
        <f>人员!O14</f>
        <v>31.0</v>
      </c>
      <c r="C19" s="2" t="n"/>
      <c r="D19" s="2" t="n"/>
      <c r="E19" s="2" t="inlineStr"/>
    </row>
    <row r="20">
      <c r="A20" s="2" t="inlineStr">
        <is>
          <t>单例直接实验成本（按成功病例分摊）</t>
        </is>
      </c>
      <c r="B20" s="15">
        <f>(月度预算!O15+月度预算!O16)/B18</f>
        <v>17.599999999999998</v>
      </c>
      <c r="C20" s="2" t="n"/>
      <c r="D20" s="2" t="n"/>
      <c r="E20" s="2" t="inlineStr">
        <is>
          <t>样本获取 + 建模 + 扰动 + 多组学，含失败病例的分摊</t>
        </is>
      </c>
    </row>
    <row r="21">
      <c r="A21" s="2" t="inlineStr">
        <is>
          <t>Plan A 月均支出</t>
        </is>
      </c>
      <c r="B21" s="15">
        <f>B10/12</f>
        <v>328.0323972222222</v>
      </c>
      <c r="C21" s="2" t="n"/>
      <c r="D21" s="2" t="n"/>
      <c r="E21" s="2" t="inlineStr"/>
    </row>
    <row r="22">
      <c r="A22" s="2" t="inlineStr">
        <is>
          <t>Plan A 第 10–12 个月月均支出</t>
        </is>
      </c>
      <c r="B22" s="15">
        <f>AVERAGE(月度预算!L45:N45)</f>
        <v>310.00939999999997</v>
      </c>
      <c r="C22" s="2" t="n"/>
      <c r="D22" s="2" t="n"/>
      <c r="E22" s="2" t="inlineStr">
        <is>
          <t>进入稳态后的月度消耗，用于估算下一轮融资规模</t>
        </is>
      </c>
    </row>
    <row r="23">
      <c r="A23" s="2" t="inlineStr">
        <is>
          <t>第 6 个月累计支出（Level 1 闸门）</t>
        </is>
      </c>
      <c r="B23" s="15">
        <f>月度预算!H46</f>
        <v>2099.617233333333</v>
      </c>
      <c r="C23" s="2" t="n"/>
      <c r="D23" s="2" t="n"/>
      <c r="E23" s="2" t="inlineStr">
        <is>
          <t>闸门未过时，剩余资金 = 融资额 − 本行</t>
        </is>
      </c>
    </row>
    <row r="24">
      <c r="A24" s="2" t="inlineStr">
        <is>
          <t>第 12 个月累计支出</t>
        </is>
      </c>
      <c r="B24" s="15">
        <f>月度预算!N46</f>
        <v>3936.388766666666</v>
      </c>
      <c r="C24" s="2" t="n"/>
      <c r="D24" s="2" t="n"/>
      <c r="E24" s="2" t="inlineStr"/>
    </row>
    <row r="25">
      <c r="A25" s="2" t="inlineStr">
        <is>
          <t>下一轮融资参考规模（稳态月耗 × 24 个月）</t>
        </is>
      </c>
      <c r="B25" s="15">
        <f>B22*24</f>
        <v>7440.2256</v>
      </c>
      <c r="C25" s="2" t="n"/>
      <c r="D25" s="2" t="n"/>
      <c r="E25" s="2" t="inlineStr">
        <is>
          <t>仅为量级参考：下一轮通常覆盖 18–24 个月且团队会扩大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4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Plan B：准备金动用规则与情景测算（万元）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一、维持期月度支出（Plan B 最低运转成本，蓝色可改）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项目</t>
        </is>
      </c>
      <c r="B4" s="4" t="inlineStr">
        <is>
          <t>数值</t>
        </is>
      </c>
      <c r="C4" s="4" t="inlineStr">
        <is>
          <t>单位</t>
        </is>
      </c>
      <c r="D4" s="4" t="inlineStr">
        <is>
          <t>说明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保留人员数</t>
        </is>
      </c>
      <c r="B5" s="11" t="n">
        <v>14</v>
      </c>
      <c r="C5" s="2" t="inlineStr">
        <is>
          <t>人</t>
        </is>
      </c>
      <c r="D5" s="2" t="inlineStr">
        <is>
          <t>创始团队 + 关键科学家 + 核心实验 / 数据 / 模型人员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保留人员人均年度人力成本</t>
        </is>
      </c>
      <c r="B6" s="10" t="n">
        <v>40</v>
      </c>
      <c r="C6" s="2" t="inlineStr">
        <is>
          <t>万元/人/年</t>
        </is>
      </c>
      <c r="D6" s="2" t="inlineStr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最低实验支出（耗材 + 维持建模）</t>
        </is>
      </c>
      <c r="B7" s="10" t="n">
        <v>15</v>
      </c>
      <c r="C7" s="2" t="inlineStr">
        <is>
          <t>万元/月</t>
        </is>
      </c>
      <c r="D7" s="2" t="inlineStr">
        <is>
          <t>保持类器官库存活与少量病例入组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最低算力与数据平台</t>
        </is>
      </c>
      <c r="B8" s="10" t="n">
        <v>5</v>
      </c>
      <c r="C8" s="2" t="inlineStr">
        <is>
          <t>万元/月</t>
        </is>
      </c>
      <c r="D8" s="2" t="inlineStr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最低运营（租金之外的行政、差旅、合规）</t>
        </is>
      </c>
      <c r="B9" s="10" t="n">
        <v>8</v>
      </c>
      <c r="C9" s="2" t="inlineStr">
        <is>
          <t>万元/月</t>
        </is>
      </c>
      <c r="D9" s="2" t="inlineStr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实验室 + 办公租金</t>
        </is>
      </c>
      <c r="B10" s="17">
        <f>(假设!$B$13*假设!$B$14+假设!$B$46*假设!$B$47)*30/10000</f>
        <v>10.35</v>
      </c>
      <c r="C10" s="2" t="inlineStr">
        <is>
          <t>万元/月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维持期月度支出合计</t>
        </is>
      </c>
      <c r="B11" s="23">
        <f>$B$5*$B$6/12+$B$7+$B$8+$B$9+$B$10</f>
        <v>85.01666666666665</v>
      </c>
      <c r="C11" s="2" t="inlineStr">
        <is>
          <t>万元/月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inlineStr">
        <is>
          <t>二、Plan B-1 削减参数（科学闸门未过时启用，蓝色可改）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4" t="inlineStr">
        <is>
          <t>项目</t>
        </is>
      </c>
      <c r="B14" s="4" t="inlineStr">
        <is>
          <t>数值</t>
        </is>
      </c>
      <c r="C14" s="4" t="inlineStr">
        <is>
          <t>单位</t>
        </is>
      </c>
      <c r="D14" s="4" t="inlineStr">
        <is>
          <t>说明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触发月份（从该月起执行削减）</t>
        </is>
      </c>
      <c r="B15" s="11" t="n">
        <v>7</v>
      </c>
      <c r="C15" s="2" t="inlineStr">
        <is>
          <t>月</t>
        </is>
      </c>
      <c r="D15" s="2" t="inlineStr">
        <is>
          <t>第 6 个月 Level 1 闸门评估未通过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实验与样本支出削减比例</t>
        </is>
      </c>
      <c r="B16" s="9" t="n">
        <v>0.5</v>
      </c>
      <c r="C16" s="2" t="inlineStr">
        <is>
          <t>%</t>
        </is>
      </c>
      <c r="D16" s="2" t="inlineStr">
        <is>
          <t>病例入组减半，集中在建模成功率最高的瘤种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数据与算力支出削减比例</t>
        </is>
      </c>
      <c r="B17" s="9" t="n">
        <v>0.3</v>
      </c>
      <c r="C17" s="2" t="inlineStr">
        <is>
          <t>%</t>
        </is>
      </c>
      <c r="D17" s="2" t="inlineStr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商务与运营支出削减比例</t>
        </is>
      </c>
      <c r="B18" s="9" t="n">
        <v>0.5</v>
      </c>
      <c r="C18" s="2" t="inlineStr">
        <is>
          <t>%</t>
        </is>
      </c>
      <c r="D18" s="2" t="inlineStr">
        <is>
          <t>暂停 BD 试点，压缩会议与差旅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人员：冻结招聘，维持触发前一个月的人力成本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三、逐月现金测算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4" t="inlineStr">
        <is>
          <t>情景</t>
        </is>
      </c>
      <c r="B22" s="4" t="inlineStr">
        <is>
          <t>项目</t>
        </is>
      </c>
      <c r="C22" s="4" t="inlineStr">
        <is>
          <t>M1</t>
        </is>
      </c>
      <c r="D22" s="4" t="inlineStr">
        <is>
          <t>M2</t>
        </is>
      </c>
      <c r="E22" s="4" t="inlineStr">
        <is>
          <t>M3</t>
        </is>
      </c>
      <c r="F22" s="4" t="inlineStr">
        <is>
          <t>M4</t>
        </is>
      </c>
      <c r="G22" s="4" t="inlineStr">
        <is>
          <t>M5</t>
        </is>
      </c>
      <c r="H22" s="4" t="inlineStr">
        <is>
          <t>M6</t>
        </is>
      </c>
      <c r="I22" s="4" t="inlineStr">
        <is>
          <t>M7</t>
        </is>
      </c>
      <c r="J22" s="4" t="inlineStr">
        <is>
          <t>M8</t>
        </is>
      </c>
      <c r="K22" s="4" t="inlineStr">
        <is>
          <t>M9</t>
        </is>
      </c>
      <c r="L22" s="4" t="inlineStr">
        <is>
          <t>M10</t>
        </is>
      </c>
      <c r="M22" s="4" t="inlineStr">
        <is>
          <t>M11</t>
        </is>
      </c>
      <c r="N22" s="4" t="inlineStr">
        <is>
          <t>M12</t>
        </is>
      </c>
      <c r="O22" s="4" t="inlineStr">
        <is>
          <t>12 个月合计</t>
        </is>
      </c>
    </row>
    <row r="23">
      <c r="A23" s="2" t="n"/>
      <c r="B23" s="2" t="inlineStr">
        <is>
          <t>月份序号</t>
        </is>
      </c>
      <c r="C23" s="14" t="n">
        <v>1</v>
      </c>
      <c r="D23" s="14" t="n">
        <v>2</v>
      </c>
      <c r="E23" s="14" t="n">
        <v>3</v>
      </c>
      <c r="F23" s="14" t="n">
        <v>4</v>
      </c>
      <c r="G23" s="14" t="n">
        <v>5</v>
      </c>
      <c r="H23" s="14" t="n">
        <v>6</v>
      </c>
      <c r="I23" s="14" t="n">
        <v>7</v>
      </c>
      <c r="J23" s="14" t="n">
        <v>8</v>
      </c>
      <c r="K23" s="14" t="n">
        <v>9</v>
      </c>
      <c r="L23" s="14" t="n">
        <v>10</v>
      </c>
      <c r="M23" s="14" t="n">
        <v>11</v>
      </c>
      <c r="N23" s="14" t="n">
        <v>12</v>
      </c>
      <c r="O23" s="2" t="n"/>
    </row>
    <row r="24">
      <c r="A24" s="2" t="inlineStr">
        <is>
          <t>情景 A：Plan A 正常推进</t>
        </is>
      </c>
      <c r="B24" s="2" t="inlineStr">
        <is>
          <t>当月支出</t>
        </is>
      </c>
      <c r="C24" s="17">
        <f>月度预算!C45</f>
        <v>666.4443333333332</v>
      </c>
      <c r="D24" s="17">
        <f>月度预算!D45</f>
        <v>436.2393333333333</v>
      </c>
      <c r="E24" s="17">
        <f>月度预算!E45</f>
        <v>330.0188666666666</v>
      </c>
      <c r="F24" s="17">
        <f>月度预算!F45</f>
        <v>249.25313333333335</v>
      </c>
      <c r="G24" s="17">
        <f>月度预算!G45</f>
        <v>200.12556666666669</v>
      </c>
      <c r="H24" s="17">
        <f>月度预算!H45</f>
        <v>217.536</v>
      </c>
      <c r="I24" s="17">
        <f>月度预算!I45</f>
        <v>282.4019666666667</v>
      </c>
      <c r="J24" s="17">
        <f>月度预算!J45</f>
        <v>297.2339666666667</v>
      </c>
      <c r="K24" s="17">
        <f>月度预算!K45</f>
        <v>327.1074</v>
      </c>
      <c r="L24" s="17">
        <f>月度预算!L45</f>
        <v>317.7344</v>
      </c>
      <c r="M24" s="17">
        <f>月度预算!M45</f>
        <v>317.7344</v>
      </c>
      <c r="N24" s="17">
        <f>月度预算!N45</f>
        <v>294.55940000000004</v>
      </c>
      <c r="O24" s="15">
        <f>SUM(C24:N24)</f>
        <v>3936.388766666666</v>
      </c>
    </row>
    <row r="25">
      <c r="A25" s="2" t="inlineStr">
        <is>
          <t>情景 B：第 6 个月闸门未过，第 7 个月起削减</t>
        </is>
      </c>
      <c r="B25" s="2" t="inlineStr">
        <is>
          <t>当月支出</t>
        </is>
      </c>
      <c r="C25" s="15">
        <f>IF(C$23&lt;$B$15,月度预算!C45,INDEX(月度预算!$C$8:$N$8,$B$15-1)+月度预算!C20*(1-$B$16)+月度预算!C27*(1-$B$17)+月度预算!C34+月度预算!C41*(1-$B$18))</f>
        <v>666.4443333333332</v>
      </c>
      <c r="D25" s="15">
        <f>IF(D$23&lt;$B$15,月度预算!D45,INDEX(月度预算!$C$8:$N$8,$B$15-1)+月度预算!D20*(1-$B$16)+月度预算!D27*(1-$B$17)+月度预算!D34+月度预算!D41*(1-$B$18))</f>
        <v>436.2393333333333</v>
      </c>
      <c r="E25" s="15">
        <f>IF(E$23&lt;$B$15,月度预算!E45,INDEX(月度预算!$C$8:$N$8,$B$15-1)+月度预算!E20*(1-$B$16)+月度预算!E27*(1-$B$17)+月度预算!E34+月度预算!E41*(1-$B$18))</f>
        <v>330.0188666666666</v>
      </c>
      <c r="F25" s="15">
        <f>IF(F$23&lt;$B$15,月度预算!F45,INDEX(月度预算!$C$8:$N$8,$B$15-1)+月度预算!F20*(1-$B$16)+月度预算!F27*(1-$B$17)+月度预算!F34+月度预算!F41*(1-$B$18))</f>
        <v>249.25313333333335</v>
      </c>
      <c r="G25" s="15">
        <f>IF(G$23&lt;$B$15,月度预算!G45,INDEX(月度预算!$C$8:$N$8,$B$15-1)+月度预算!G20*(1-$B$16)+月度预算!G27*(1-$B$17)+月度预算!G34+月度预算!G41*(1-$B$18))</f>
        <v>200.12556666666669</v>
      </c>
      <c r="H25" s="15">
        <f>IF(H$23&lt;$B$15,月度预算!H45,INDEX(月度预算!$C$8:$N$8,$B$15-1)+月度预算!H20*(1-$B$16)+月度预算!H27*(1-$B$17)+月度预算!H34+月度预算!H41*(1-$B$18))</f>
        <v>217.536</v>
      </c>
      <c r="I25" s="15">
        <f>IF(I$23&lt;$B$15,月度预算!I45,INDEX(月度预算!$C$8:$N$8,$B$15-1)+月度预算!I20*(1-$B$16)+月度预算!I27*(1-$B$17)+月度预算!I34+月度预算!I41*(1-$B$18))</f>
        <v>179.80499999999998</v>
      </c>
      <c r="J25" s="15">
        <f>IF(J$23&lt;$B$15,月度预算!J45,INDEX(月度预算!$C$8:$N$8,$B$15-1)+月度预算!J20*(1-$B$16)+月度预算!J27*(1-$B$17)+月度预算!J34+月度预算!J41*(1-$B$18))</f>
        <v>191.05499999999998</v>
      </c>
      <c r="K25" s="15">
        <f>IF(K$23&lt;$B$15,月度预算!K45,INDEX(月度预算!$C$8:$N$8,$B$15-1)+月度预算!K20*(1-$B$16)+月度预算!K27*(1-$B$17)+月度预算!K34+月度预算!K41*(1-$B$18))</f>
        <v>197.215</v>
      </c>
      <c r="L25" s="15">
        <f>IF(L$23&lt;$B$15,月度预算!L45,INDEX(月度预算!$C$8:$N$8,$B$15-1)+月度预算!L20*(1-$B$16)+月度预算!L27*(1-$B$17)+月度预算!L34+月度预算!L41*(1-$B$18))</f>
        <v>197.215</v>
      </c>
      <c r="M25" s="15">
        <f>IF(M$23&lt;$B$15,月度预算!M45,INDEX(月度预算!$C$8:$N$8,$B$15-1)+月度预算!M20*(1-$B$16)+月度预算!M27*(1-$B$17)+月度预算!M34+月度预算!M41*(1-$B$18))</f>
        <v>197.215</v>
      </c>
      <c r="N25" s="15">
        <f>IF(N$23&lt;$B$15,月度预算!N45,INDEX(月度预算!$C$8:$N$8,$B$15-1)+月度预算!N20*(1-$B$16)+月度预算!N27*(1-$B$17)+月度预算!N34+月度预算!N41*(1-$B$18))</f>
        <v>185.965</v>
      </c>
      <c r="O25" s="15">
        <f>SUM(C25:N25)</f>
        <v>3248.0872333333336</v>
      </c>
    </row>
    <row r="26">
      <c r="A26" s="2" t="inlineStr">
        <is>
          <t>情景 C：闸门未过 + 下一轮融资受阻，第 7 个月起直接进入维持期</t>
        </is>
      </c>
      <c r="B26" s="2" t="inlineStr">
        <is>
          <t>当月支出</t>
        </is>
      </c>
      <c r="C26" s="15">
        <f>IF(C$23&lt;$B$15,月度预算!C45,$B$11)</f>
        <v>666.4443333333332</v>
      </c>
      <c r="D26" s="15">
        <f>IF(D$23&lt;$B$15,月度预算!D45,$B$11)</f>
        <v>436.2393333333333</v>
      </c>
      <c r="E26" s="15">
        <f>IF(E$23&lt;$B$15,月度预算!E45,$B$11)</f>
        <v>330.0188666666666</v>
      </c>
      <c r="F26" s="15">
        <f>IF(F$23&lt;$B$15,月度预算!F45,$B$11)</f>
        <v>249.25313333333335</v>
      </c>
      <c r="G26" s="15">
        <f>IF(G$23&lt;$B$15,月度预算!G45,$B$11)</f>
        <v>200.12556666666669</v>
      </c>
      <c r="H26" s="15">
        <f>IF(H$23&lt;$B$15,月度预算!H45,$B$11)</f>
        <v>217.536</v>
      </c>
      <c r="I26" s="15">
        <f>IF(I$23&lt;$B$15,月度预算!I45,$B$11)</f>
        <v>85.01666666666665</v>
      </c>
      <c r="J26" s="15">
        <f>IF(J$23&lt;$B$15,月度预算!J45,$B$11)</f>
        <v>85.01666666666665</v>
      </c>
      <c r="K26" s="15">
        <f>IF(K$23&lt;$B$15,月度预算!K45,$B$11)</f>
        <v>85.01666666666665</v>
      </c>
      <c r="L26" s="15">
        <f>IF(L$23&lt;$B$15,月度预算!L45,$B$11)</f>
        <v>85.01666666666665</v>
      </c>
      <c r="M26" s="15">
        <f>IF(M$23&lt;$B$15,月度预算!M45,$B$11)</f>
        <v>85.01666666666665</v>
      </c>
      <c r="N26" s="15">
        <f>IF(N$23&lt;$B$15,月度预算!N45,$B$11)</f>
        <v>85.01666666666665</v>
      </c>
      <c r="O26" s="15">
        <f>SUM(C26:N26)</f>
        <v>2609.717233333332</v>
      </c>
    </row>
    <row r="27">
      <c r="A27" s="2" t="inlineStr">
        <is>
          <t>情景 A</t>
        </is>
      </c>
      <c r="B27" s="2" t="inlineStr">
        <is>
          <t>账面现金余额</t>
        </is>
      </c>
      <c r="C27" s="15">
        <f>假设!$B$5-SUM($C$24:C24)</f>
        <v>4333.555666666667</v>
      </c>
      <c r="D27" s="15">
        <f>假设!$B$5-SUM($C$24:D24)</f>
        <v>3897.316333333333</v>
      </c>
      <c r="E27" s="15">
        <f>假设!$B$5-SUM($C$24:E24)</f>
        <v>3567.297466666667</v>
      </c>
      <c r="F27" s="15">
        <f>假设!$B$5-SUM($C$24:F24)</f>
        <v>3318.0443333333333</v>
      </c>
      <c r="G27" s="15">
        <f>假设!$B$5-SUM($C$24:G24)</f>
        <v>3117.9187666666667</v>
      </c>
      <c r="H27" s="15">
        <f>假设!$B$5-SUM($C$24:H24)</f>
        <v>2900.382766666667</v>
      </c>
      <c r="I27" s="15">
        <f>假设!$B$5-SUM($C$24:I24)</f>
        <v>2617.9808000000003</v>
      </c>
      <c r="J27" s="15">
        <f>假设!$B$5-SUM($C$24:J24)</f>
        <v>2320.7468333333336</v>
      </c>
      <c r="K27" s="15">
        <f>假设!$B$5-SUM($C$24:K24)</f>
        <v>1993.6394333333337</v>
      </c>
      <c r="L27" s="15">
        <f>假设!$B$5-SUM($C$24:L24)</f>
        <v>1675.905033333334</v>
      </c>
      <c r="M27" s="15">
        <f>假设!$B$5-SUM($C$24:M24)</f>
        <v>1358.170633333334</v>
      </c>
      <c r="N27" s="15">
        <f>假设!$B$5-SUM($C$24:N24)</f>
        <v>1063.611233333334</v>
      </c>
      <c r="O27" s="2" t="n"/>
    </row>
    <row r="28">
      <c r="A28" s="2" t="inlineStr">
        <is>
          <t>情景 B</t>
        </is>
      </c>
      <c r="B28" s="2" t="inlineStr">
        <is>
          <t>账面现金余额</t>
        </is>
      </c>
      <c r="C28" s="15">
        <f>假设!$B$5-SUM($C$25:C25)</f>
        <v>4333.555666666667</v>
      </c>
      <c r="D28" s="15">
        <f>假设!$B$5-SUM($C$25:D25)</f>
        <v>3897.316333333333</v>
      </c>
      <c r="E28" s="15">
        <f>假设!$B$5-SUM($C$25:E25)</f>
        <v>3567.297466666667</v>
      </c>
      <c r="F28" s="15">
        <f>假设!$B$5-SUM($C$25:F25)</f>
        <v>3318.0443333333333</v>
      </c>
      <c r="G28" s="15">
        <f>假设!$B$5-SUM($C$25:G25)</f>
        <v>3117.9187666666667</v>
      </c>
      <c r="H28" s="15">
        <f>假设!$B$5-SUM($C$25:H25)</f>
        <v>2900.382766666667</v>
      </c>
      <c r="I28" s="15">
        <f>假设!$B$5-SUM($C$25:I25)</f>
        <v>2720.5777666666672</v>
      </c>
      <c r="J28" s="15">
        <f>假设!$B$5-SUM($C$25:J25)</f>
        <v>2529.522766666667</v>
      </c>
      <c r="K28" s="15">
        <f>假设!$B$5-SUM($C$25:K25)</f>
        <v>2332.307766666667</v>
      </c>
      <c r="L28" s="15">
        <f>假设!$B$5-SUM($C$25:L25)</f>
        <v>2135.0927666666666</v>
      </c>
      <c r="M28" s="15">
        <f>假设!$B$5-SUM($C$25:M25)</f>
        <v>1937.8777666666665</v>
      </c>
      <c r="N28" s="15">
        <f>假设!$B$5-SUM($C$25:N25)</f>
        <v>1751.9127666666664</v>
      </c>
      <c r="O28" s="2" t="n"/>
    </row>
    <row r="29">
      <c r="A29" s="2" t="inlineStr">
        <is>
          <t>情景 C</t>
        </is>
      </c>
      <c r="B29" s="2" t="inlineStr">
        <is>
          <t>账面现金余额</t>
        </is>
      </c>
      <c r="C29" s="15">
        <f>假设!$B$5-SUM($C$26:C26)</f>
        <v>4333.555666666667</v>
      </c>
      <c r="D29" s="15">
        <f>假设!$B$5-SUM($C$26:D26)</f>
        <v>3897.316333333333</v>
      </c>
      <c r="E29" s="15">
        <f>假设!$B$5-SUM($C$26:E26)</f>
        <v>3567.297466666667</v>
      </c>
      <c r="F29" s="15">
        <f>假设!$B$5-SUM($C$26:F26)</f>
        <v>3318.0443333333333</v>
      </c>
      <c r="G29" s="15">
        <f>假设!$B$5-SUM($C$26:G26)</f>
        <v>3117.9187666666667</v>
      </c>
      <c r="H29" s="15">
        <f>假设!$B$5-SUM($C$26:H26)</f>
        <v>2900.382766666667</v>
      </c>
      <c r="I29" s="15">
        <f>假设!$B$5-SUM($C$26:I26)</f>
        <v>2815.3661</v>
      </c>
      <c r="J29" s="15">
        <f>假设!$B$5-SUM($C$26:J26)</f>
        <v>2730.3494333333338</v>
      </c>
      <c r="K29" s="15">
        <f>假设!$B$5-SUM($C$26:K26)</f>
        <v>2645.3327666666673</v>
      </c>
      <c r="L29" s="15">
        <f>假设!$B$5-SUM($C$26:L26)</f>
        <v>2560.316100000001</v>
      </c>
      <c r="M29" s="15">
        <f>假设!$B$5-SUM($C$26:M26)</f>
        <v>2475.2994333333345</v>
      </c>
      <c r="N29" s="15">
        <f>假设!$B$5-SUM($C$26:N26)</f>
        <v>2390.282766666668</v>
      </c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" t="inlineStr">
        <is>
          <t>四、情景结果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4" t="inlineStr">
        <is>
          <t>情景</t>
        </is>
      </c>
      <c r="B32" s="4" t="inlineStr">
        <is>
          <t>12 个月支出</t>
        </is>
      </c>
      <c r="C32" s="4" t="inlineStr">
        <is>
          <t>第 12 个月末现金</t>
        </is>
      </c>
      <c r="D32" s="4" t="inlineStr">
        <is>
          <t>之后按维持期可再支撑（月）</t>
        </is>
      </c>
      <c r="E32" s="4" t="inlineStr">
        <is>
          <t>总跑道（月）</t>
        </is>
      </c>
      <c r="F32" s="4" t="inlineStr">
        <is>
          <t>说明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情景 A：Plan A 正常推进</t>
        </is>
      </c>
      <c r="B33" s="15">
        <f>O24</f>
        <v>3936.388766666666</v>
      </c>
      <c r="C33" s="15">
        <f>假设!$B$5-O24</f>
        <v>1063.611233333334</v>
      </c>
      <c r="D33" s="15">
        <f>IF($B$11&gt;0,C33/$B$11,0)</f>
        <v>12.510620270535199</v>
      </c>
      <c r="E33" s="15">
        <f>12+D33</f>
        <v>24.5106202705352</v>
      </c>
      <c r="F33" s="2" t="inlineStr">
        <is>
          <t>准备金未动用，作为下一轮融资的过桥资金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情景 B：闸门未过，收缩</t>
        </is>
      </c>
      <c r="B34" s="15">
        <f>O25</f>
        <v>3248.0872333333336</v>
      </c>
      <c r="C34" s="15">
        <f>假设!$B$5-O25</f>
        <v>1751.9127666666664</v>
      </c>
      <c r="D34" s="15">
        <f>IF($B$11&gt;0,C34/$B$11,0)</f>
        <v>20.606697902372083</v>
      </c>
      <c r="E34" s="15">
        <f>12+D34</f>
        <v>32.60669790237208</v>
      </c>
      <c r="F34" s="2" t="inlineStr">
        <is>
          <t>科学风险出现时收缩，仍完成核心验证，跑道延长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情景 C：闸门未过 + 融资受阻</t>
        </is>
      </c>
      <c r="B35" s="15">
        <f>O26</f>
        <v>2609.717233333332</v>
      </c>
      <c r="C35" s="15">
        <f>假设!$B$5-O26</f>
        <v>2390.282766666668</v>
      </c>
      <c r="D35" s="15">
        <f>IF($B$11&gt;0,C35/$B$11,0)</f>
        <v>28.115460890021588</v>
      </c>
      <c r="E35" s="15">
        <f>12+D35</f>
        <v>40.11546089002159</v>
      </c>
      <c r="F35" s="2" t="inlineStr">
        <is>
          <t>最坏情况：保住团队、类器官库与数据资产，等待融资或战略合作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3" t="inlineStr">
        <is>
          <t>五、准备金动用规则（建议写入股东协议 / 董事会议事规则）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3" t="inlineStr">
        <is>
          <t>触发条件 1</t>
        </is>
      </c>
      <c r="B38" s="2" t="inlineStr">
        <is>
          <t>第 6 个月 Level 1 闸门（重复性、周转时间、失败率、培养偏差模型）未达阈值 → 执行情景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3" t="inlineStr">
        <is>
          <t>触发条件 2</t>
        </is>
      </c>
      <c r="B39" s="2" t="inlineStr">
        <is>
          <t>第 9 个月仍未拿到下一轮投资意向书（TS），且现金跑道 &lt; 6 个月 → 冻结招聘，准备进入维持期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3" t="inlineStr">
        <is>
          <t>触发条件 3</t>
        </is>
      </c>
      <c r="B40" s="2" t="inlineStr">
        <is>
          <t>第 12 个月首个付费 / 联合开发项目未落地 → 转向类器官检测与研究服务，以服务收入延长跑道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3" t="inlineStr">
        <is>
          <t>动用程序</t>
        </is>
      </c>
      <c r="B41" s="2" t="inlineStr">
        <is>
          <t>准备金存放于独立账户；动用需董事会（含投资人董事）批准，并同步公布收缩方案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3" t="inlineStr">
        <is>
          <t>不得动用于</t>
        </is>
      </c>
      <c r="B42" s="2" t="inlineStr">
        <is>
          <t>Plan A 的常规超支（由 Plan A 内部不可预见费覆盖）、新增非核心岗位、未经批准的设备采购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2026-10-06T07:26:11Z</dcterms:created>
  <dcterms:modified xsi:type="dcterms:W3CDTF">2026-10-06T07:26:11Z</dcterms:modified>
</cp:coreProperties>
</file>